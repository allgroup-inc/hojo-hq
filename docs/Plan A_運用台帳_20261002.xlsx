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決裁事項" sheetId="1" state="visible" r:id="rId1"/>
    <sheet xmlns:r="http://schemas.openxmlformats.org/officeDocument/2006/relationships" name="根拠集め" sheetId="2" state="visible" r:id="rId2"/>
    <sheet xmlns:r="http://schemas.openxmlformats.org/officeDocument/2006/relationships" name="見出しテスト" sheetId="3" state="visible" r:id="rId3"/>
    <sheet xmlns:r="http://schemas.openxmlformats.org/officeDocument/2006/relationships" name="週次KPI" sheetId="4" state="visible" r:id="rId4"/>
    <sheet xmlns:r="http://schemas.openxmlformats.org/officeDocument/2006/relationships" name="工程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7">
    <font>
      <name val="Calibri"/>
      <family val="2"/>
      <color theme="1"/>
      <sz val="11"/>
      <scheme val="minor"/>
    </font>
    <font>
      <name val="Meiryo"/>
      <b val="1"/>
      <color rgb="0000335C"/>
      <sz val="13"/>
    </font>
    <font>
      <name val="Meiryo"/>
      <color rgb="00555555"/>
      <sz val="9"/>
    </font>
    <font>
      <name val="Meiryo"/>
      <b val="1"/>
      <color rgb="00FFFFFF"/>
      <sz val="10"/>
    </font>
    <font>
      <name val="Meiryo"/>
      <sz val="10"/>
    </font>
    <font>
      <name val="Meiryo"/>
      <b val="1"/>
      <sz val="10"/>
    </font>
    <font>
      <name val="Meiryo"/>
      <b val="1"/>
      <color rgb="00B9502F"/>
      <sz val="10"/>
    </font>
  </fonts>
  <fills count="4">
    <fill>
      <patternFill/>
    </fill>
    <fill>
      <patternFill patternType="gray125"/>
    </fill>
    <fill>
      <patternFill patternType="solid">
        <fgColor rgb="0000335C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right"/>
    </xf>
    <xf numFmtId="0" fontId="4" fillId="0" borderId="0" pivotButton="0" quotePrefix="0" xfId="0"/>
    <xf numFmtId="0" fontId="6" fillId="0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center"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 wrapText="1"/>
    </xf>
    <xf numFmtId="3" fontId="4" fillId="3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2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2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52" customWidth="1" min="3" max="3"/>
    <col width="48" customWidth="1" min="4" max="4"/>
    <col width="22" customWidth="1" min="5" max="5"/>
    <col width="12" customWidth="1" min="6" max="6"/>
    <col width="46" customWidth="1" min="7" max="7"/>
  </cols>
  <sheetData>
    <row r="1">
      <c r="A1" s="1" t="inlineStr">
        <is>
          <t>Plan A LP 決裁事項(構成設計書v2 §8・小柳さん決裁待ち6項目)</t>
        </is>
      </c>
    </row>
    <row r="2">
      <c r="A2" s="2" t="inlineStr">
        <is>
          <t>出所: docs/Plan A LP_構成設計書v2_20261001.md §8(決裁順)。黄色=入力欄(決裁結果・決裁日)。他の列は設計書の転記。</t>
        </is>
      </c>
    </row>
    <row r="3">
      <c r="A3" s="2" t="inlineStr">
        <is>
          <t>推奨欄は設計書(§4・§5・付録B)に書かれた推奨の転記であり、決裁の代わりではない。決裁するのは小柳さん(絶対ルール5)。</t>
        </is>
      </c>
    </row>
    <row r="4"/>
    <row r="5">
      <c r="A5" s="3" t="inlineStr">
        <is>
          <t>No</t>
        </is>
      </c>
      <c r="B5" s="3" t="inlineStr">
        <is>
          <t>項目</t>
        </is>
      </c>
      <c r="C5" s="3" t="inlineStr">
        <is>
          <t>選択肢</t>
        </is>
      </c>
      <c r="D5" s="3" t="inlineStr">
        <is>
          <t>推奨</t>
        </is>
      </c>
      <c r="E5" s="3" t="inlineStr">
        <is>
          <t>決裁結果</t>
        </is>
      </c>
      <c r="F5" s="3" t="inlineStr">
        <is>
          <t>決裁日</t>
        </is>
      </c>
      <c r="G5" s="3" t="inlineStr">
        <is>
          <t>反映先(LPの箇所)</t>
        </is>
      </c>
    </row>
    <row r="6">
      <c r="A6" s="4" t="n">
        <v>1</v>
      </c>
      <c r="B6" s="5" t="inlineStr">
        <is>
          <t>LINEアカウント</t>
        </is>
      </c>
      <c r="C6" s="5" t="inlineStr">
        <is>
          <t>①Plan A専用を新設 / ②ミカタ公式を共用(あいさつ分岐に「海外」キーワードを足す)</t>
        </is>
      </c>
      <c r="D6" s="5" t="inlineStr">
        <is>
          <t>設計書に推奨なし(共用=相談転換フローを即流用できる。専用=GLOWブランドで数字を分けやすい)</t>
        </is>
      </c>
      <c r="E6" s="6" t="n"/>
      <c r="F6" s="7" t="n"/>
      <c r="G6" s="5" t="inlineStr">
        <is>
          <t>§5 中間リンク /go/plan-a-line/ の転送先(scripts/generate_go_pages.py の dest)/ 段0 固定ボタン・段10 LINEボタン</t>
        </is>
      </c>
    </row>
    <row r="7">
      <c r="A7" s="4" t="n">
        <v>2</v>
      </c>
      <c r="B7" s="5" t="inlineStr">
        <is>
          <t>費用の確定(税込表記・4%負担者・実費・返金条件)</t>
        </is>
      </c>
      <c r="C7" s="5" t="inlineStr">
        <is>
          <t>①1万円は税込か税別か / ②Trade Assurance手数料4%(上限100米ドル)の負担者: GLOW or 生産者 / ③送料・関税・証明書の実費の扱い / ④返金・解約条件(「売れなければ初期費用返金」等の保証を付けるか)</t>
        </is>
      </c>
      <c r="D7" s="5" t="inlineStr">
        <is>
          <t>付録B-7: 「初期費用1万円(税込表記)+成約時3%。輸送・検疫等の実費は別途(目安を併記)」。4%はどちらの負担でも料金表に明記(付録B-2)</t>
        </is>
      </c>
      <c r="E7" s="6" t="n"/>
      <c r="F7" s="7" t="n"/>
      <c r="G7" s="5" t="inlineStr">
        <is>
          <t>段1 ファーストビュー 費用の1行 / 段5 仕組み 費用の内訳 / 段7 第1期の募集条件 / 段9 FAQ(費用はいつ払うか・売れなかったら・やめたいとき)/ 段11 脚注・特商法表記ページ</t>
        </is>
      </c>
    </row>
    <row r="8">
      <c r="A8" s="4" t="n">
        <v>3</v>
      </c>
      <c r="B8" s="5" t="inlineStr">
        <is>
          <t>第1期の募集条件</t>
        </is>
      </c>
      <c r="C8" s="5" t="inlineStr">
        <is>
          <t>募集数 / 開始月 / 対象品目(常温の加工品・工芸品から始めるか)</t>
        </is>
      </c>
      <c r="D8" s="5" t="inlineStr">
        <is>
          <t>付録B-5: 黒糖・加工食品・工芸品など常温・加工品から始める。実績が出るまで「第1期募集」と正直に書く(§0)</t>
        </is>
      </c>
      <c r="E8" s="6" t="n"/>
      <c r="F8" s="7" t="n"/>
      <c r="G8" s="5" t="inlineStr">
        <is>
          <t>段7 第1期の募集条件 / 段6 やること・やらないこと(Plan Aでは扱えないもの)</t>
        </is>
      </c>
    </row>
    <row r="9">
      <c r="A9" s="4" t="n">
        <v>4</v>
      </c>
      <c r="B9" s="5" t="inlineStr">
        <is>
          <t>運営者表記</t>
        </is>
      </c>
      <c r="C9" s="5" t="inlineStr">
        <is>
          <t>代表者名・所在地・経歴(日本政策金融公庫の在籍年数)を本人確認のうえ①載せる / ②載せない</t>
        </is>
      </c>
      <c r="D9" s="5" t="inlineStr">
        <is>
          <t>付録B-7: 経歴の数字は本人確認済みのものだけ。「30年」「200社」「100億円」は根拠が揃うまで非表示(現状は非表示)</t>
        </is>
      </c>
      <c r="E9" s="6" t="n"/>
      <c r="F9" s="7" t="n"/>
      <c r="G9" s="5" t="inlineStr">
        <is>
          <t>段2 信頼の帯 / 段8 運営者 / 段11 脚注</t>
        </is>
      </c>
    </row>
    <row r="10">
      <c r="A10" s="4" t="n">
        <v>5</v>
      </c>
      <c r="B10" s="5" t="inlineStr">
        <is>
          <t>見出し選択</t>
        </is>
      </c>
      <c r="C10" s="5" t="inlineStr">
        <is>
          <t>A: あなたの商品を探している海外の買い手に、日本語のまま届ける販路。 / B: 畑と工房はそのまま。海外の売り先だけ、増やす。 / C: 沖縄にいながら、200以上の国と地域のバイヤーへ。(10人の反応を見てからでも可)</t>
        </is>
      </c>
      <c r="D10" s="5" t="inlineStr">
        <is>
          <t>§4: A案を推す。ただし見出しテスト(シート「見出しテスト」)で「自分向き」最多を採用、「胡散臭い」3人以上は不採用</t>
        </is>
      </c>
      <c r="E10" s="6" t="n"/>
      <c r="F10" s="7" t="n"/>
      <c r="G10" s="5" t="inlineStr">
        <is>
          <t>段1 ファーストビュー見出し(A案 site/go/plan-a/index.html)。B案(sns/index.html)の見出しDは据え置き判定に従う</t>
        </is>
      </c>
    </row>
    <row r="11">
      <c r="A11" s="4" t="n">
        <v>6</v>
      </c>
      <c r="B11" s="5" t="inlineStr">
        <is>
          <t>撮影予算</t>
        </is>
      </c>
      <c r="C11" s="5" t="inlineStr">
        <is>
          <t>実写真(生産者3社・商品)の撮影費を①計上する / ②計上しない(写真なしで第1期募集)</t>
        </is>
      </c>
      <c r="D11" s="5" t="inlineStr">
        <is>
          <t>設計書に金額の推奨なし(§6: 「イメージ」でなく実物か・許諾は取れているかが条件)</t>
        </is>
      </c>
      <c r="E11" s="6" t="n"/>
      <c r="F11" s="7" t="n"/>
      <c r="G11" s="5" t="inlineStr">
        <is>
          <t>段3 こんな方へ / 段7 第1期 / 根拠集め#12(作り手の写真と許諾書)</t>
        </is>
      </c>
    </row>
    <row r="12"/>
    <row r="13">
      <c r="D13" s="8" t="inlineStr">
        <is>
          <t>決裁済み件数 / 6</t>
        </is>
      </c>
      <c r="E13" s="8">
        <f>COUNTA(E6:E11)&amp;" / "&amp;COUNTA(A6:A11)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50" customWidth="1" min="3" max="3"/>
    <col width="46" customWidth="1" min="4" max="4"/>
    <col width="14" customWidth="1" min="5" max="5"/>
    <col width="11" customWidth="1" min="6" max="6"/>
    <col width="12" customWidth="1" min="7" max="7"/>
    <col width="30" customWidth="1" min="8" max="8"/>
  </cols>
  <sheetData>
    <row r="1">
      <c r="A1" s="1" t="inlineStr">
        <is>
          <t>Plan A LP 根拠集め(公開前チェックリストv2 §2・12項目)</t>
        </is>
      </c>
    </row>
    <row r="2">
      <c r="A2" s="2" t="inlineStr">
        <is>
          <t>出所: docs/Plan A LP_公開前チェックリストv2_20261002.md §2。揃うまで該当箇所は【要決裁】【要確認】のまま(絶対ルール1)。</t>
        </is>
      </c>
    </row>
    <row r="3">
      <c r="A3" s="2" t="inlineStr">
        <is>
          <t>黄色=入力欄(出所URLの追記・状態・取得日・メモ)。状態はプルダウン(未着手/依頼中/取得済/反映済)。初期値「未着手」はチェックリストの⬜を転記。</t>
        </is>
      </c>
    </row>
    <row r="4"/>
    <row r="5">
      <c r="E5" s="9" t="inlineStr">
        <is>
          <t>取得済+反映済の件数 / 12</t>
        </is>
      </c>
      <c r="F5" s="8">
        <f>COUNTIF(F8:F19,"取得済")+COUNTIF(F8:F19,"反映済")&amp;" / "&amp;COUNTA(A8:A19)</f>
        <v/>
      </c>
    </row>
    <row r="6"/>
    <row r="7">
      <c r="A7" s="3" t="inlineStr">
        <is>
          <t>No</t>
        </is>
      </c>
      <c r="B7" s="3" t="inlineStr">
        <is>
          <t>箇所</t>
        </is>
      </c>
      <c r="C7" s="3" t="inlineStr">
        <is>
          <t>必要なもの</t>
        </is>
      </c>
      <c r="D7" s="3" t="inlineStr">
        <is>
          <t>出所URL</t>
        </is>
      </c>
      <c r="E7" s="3" t="inlineStr">
        <is>
          <t>担当</t>
        </is>
      </c>
      <c r="F7" s="3" t="inlineStr">
        <is>
          <t>状態</t>
        </is>
      </c>
      <c r="G7" s="3" t="inlineStr">
        <is>
          <t>取得日</t>
        </is>
      </c>
      <c r="H7" s="3" t="inlineStr">
        <is>
          <t>メモ</t>
        </is>
      </c>
    </row>
    <row r="8">
      <c r="A8" s="4" t="n">
        <v>1</v>
      </c>
      <c r="B8" s="5" t="inlineStr">
        <is>
          <t>「200以上の国と地域」「4,000万超の登録バイヤー」の時点</t>
        </is>
      </c>
      <c r="C8" s="5" t="inlineStr">
        <is>
          <t>アリババ株式会社公式を開き、記載を確認した年月を脚注に入れる</t>
        </is>
      </c>
      <c r="D8" s="6" t="inlineStr">
        <is>
          <t>https://www.b2b.alibaba.co.jp/service/</t>
        </is>
      </c>
      <c r="E8" s="5" t="inlineStr">
        <is>
          <t>検証部</t>
        </is>
      </c>
      <c r="F8" s="6" t="inlineStr">
        <is>
          <t>未着手</t>
        </is>
      </c>
      <c r="G8" s="7" t="n"/>
      <c r="H8" s="6" t="n"/>
    </row>
    <row r="9">
      <c r="A9" s="4" t="n">
        <v>2</v>
      </c>
      <c r="B9" s="5" t="inlineStr">
        <is>
          <t>取引保護(Trade Assurance)の説明と手数料4%・上限100米ドル</t>
        </is>
      </c>
      <c r="C9" s="5" t="inlineStr">
        <is>
          <t>ta-01 と ta-09 を開いて原文照合</t>
        </is>
      </c>
      <c r="D9" s="6" t="inlineStr">
        <is>
          <t>https://b2b-manual.alibaba.co.jp/ta-01
https://b2b-manual.alibaba.co.jp/ta-09</t>
        </is>
      </c>
      <c r="E9" s="5" t="inlineStr">
        <is>
          <t>検証部</t>
        </is>
      </c>
      <c r="F9" s="6" t="inlineStr">
        <is>
          <t>未着手</t>
        </is>
      </c>
      <c r="G9" s="7" t="n"/>
      <c r="H9" s="6" t="n"/>
    </row>
    <row r="10">
      <c r="A10" s="4" t="n">
        <v>3</v>
      </c>
      <c r="B10" s="5" t="inlineStr">
        <is>
          <t>取引保護手数料の負担者(GLOW/生産者)</t>
        </is>
      </c>
      <c r="C10" s="5" t="inlineStr">
        <is>
          <t>小柳さん決裁(シート「決裁事項」No.2)</t>
        </is>
      </c>
      <c r="D10" s="6" t="n"/>
      <c r="E10" s="5" t="inlineStr">
        <is>
          <t>小柳さん</t>
        </is>
      </c>
      <c r="F10" s="6" t="inlineStr">
        <is>
          <t>未着手</t>
        </is>
      </c>
      <c r="G10" s="7" t="n"/>
      <c r="H10" s="6" t="n"/>
    </row>
    <row r="11">
      <c r="A11" s="4" t="n">
        <v>4</v>
      </c>
      <c r="B11" s="5" t="inlineStr">
        <is>
          <t>1万円の税込/税別表記・返金条件・募集数・開始月</t>
        </is>
      </c>
      <c r="C11" s="5" t="inlineStr">
        <is>
          <t>小柳さん決裁(シート「決裁事項」No.2・No.3)</t>
        </is>
      </c>
      <c r="D11" s="6" t="n"/>
      <c r="E11" s="5" t="inlineStr">
        <is>
          <t>小柳さん</t>
        </is>
      </c>
      <c r="F11" s="6" t="inlineStr">
        <is>
          <t>未着手</t>
        </is>
      </c>
      <c r="G11" s="7" t="n"/>
      <c r="H11" s="6" t="n"/>
    </row>
    <row r="12">
      <c r="A12" s="4" t="n">
        <v>5</v>
      </c>
      <c r="B12" s="5" t="inlineStr">
        <is>
          <t>「これまでの海外販売」の相場金額(比較表・vs表)</t>
        </is>
      </c>
      <c r="C12" s="5" t="inlineStr">
        <is>
          <t>JETROや主催者の公開資料から出展料・渡航費の出所を取る。取れなければ金額を消して文言だけにする</t>
        </is>
      </c>
      <c r="D12" s="6" t="n"/>
      <c r="E12" s="5" t="inlineStr">
        <is>
          <t>検証部</t>
        </is>
      </c>
      <c r="F12" s="6" t="inlineStr">
        <is>
          <t>未着手</t>
        </is>
      </c>
      <c r="G12" s="7" t="n"/>
      <c r="H12" s="6" t="n"/>
    </row>
    <row r="13">
      <c r="A13" s="4" t="n">
        <v>6</v>
      </c>
      <c r="B13" s="5" t="inlineStr">
        <is>
          <t>代表者名・所在地</t>
        </is>
      </c>
      <c r="C13" s="5" t="inlineStr">
        <is>
          <t>登記情報・会社資料</t>
        </is>
      </c>
      <c r="D13" s="6" t="n"/>
      <c r="E13" s="5" t="inlineStr">
        <is>
          <t>守り部</t>
        </is>
      </c>
      <c r="F13" s="6" t="inlineStr">
        <is>
          <t>未着手</t>
        </is>
      </c>
      <c r="G13" s="7" t="n"/>
      <c r="H13" s="6" t="n"/>
    </row>
    <row r="14">
      <c r="A14" s="4" t="n">
        <v>7</v>
      </c>
      <c r="B14" s="5" t="inlineStr">
        <is>
          <t>経歴の数字(公庫在籍年数など)を載せるか</t>
        </is>
      </c>
      <c r="C14" s="5" t="inlineStr">
        <is>
          <t>本人確認。載せないなら現状のまま(今は非表示)</t>
        </is>
      </c>
      <c r="D14" s="6" t="n"/>
      <c r="E14" s="5" t="inlineStr">
        <is>
          <t>小柳さん</t>
        </is>
      </c>
      <c r="F14" s="6" t="inlineStr">
        <is>
          <t>未着手</t>
        </is>
      </c>
      <c r="G14" s="7" t="n"/>
      <c r="H14" s="6" t="n"/>
    </row>
    <row r="15">
      <c r="A15" s="4" t="n">
        <v>8</v>
      </c>
      <c r="B15" s="5" t="inlineStr">
        <is>
          <t>Alibaba.com会員契約の有無(「出展企業」と書けるか)</t>
        </is>
      </c>
      <c r="C15" s="5" t="inlineStr">
        <is>
          <t>契約書。無ければ「出展企業」とは書かない(今は書いていない)</t>
        </is>
      </c>
      <c r="D15" s="6" t="n"/>
      <c r="E15" s="5" t="inlineStr">
        <is>
          <t>守り部</t>
        </is>
      </c>
      <c r="F15" s="6" t="inlineStr">
        <is>
          <t>未着手</t>
        </is>
      </c>
      <c r="G15" s="7" t="n"/>
      <c r="H15" s="6" t="n"/>
    </row>
    <row r="16">
      <c r="A16" s="4" t="n">
        <v>9</v>
      </c>
      <c r="B16" s="5" t="inlineStr">
        <is>
          <t>生産者からの販売許諾書の書式</t>
        </is>
      </c>
      <c r="C16" s="5" t="inlineStr">
        <is>
          <t>守り部が作成(ブランド・商品名・許諾内容・会員情報と一致する当事者名)</t>
        </is>
      </c>
      <c r="D16" s="6" t="inlineStr">
        <is>
          <t>https://rule.alibaba.com/rule/detail/11000252.htm(授権の要件・付録B-3)</t>
        </is>
      </c>
      <c r="E16" s="5" t="inlineStr">
        <is>
          <t>守り部</t>
        </is>
      </c>
      <c r="F16" s="6" t="inlineStr">
        <is>
          <t>未着手</t>
        </is>
      </c>
      <c r="G16" s="7" t="n"/>
      <c r="H16" s="6" t="n"/>
    </row>
    <row r="17">
      <c r="A17" s="4" t="n">
        <v>10</v>
      </c>
      <c r="B17" s="5" t="inlineStr">
        <is>
          <t>特定商取引法に基づく表記ページ・個人情報の取り扱いページ</t>
        </is>
      </c>
      <c r="C17" s="5" t="inlineStr">
        <is>
          <t>作成して脚注のリンク先にする</t>
        </is>
      </c>
      <c r="D17" s="6" t="inlineStr">
        <is>
          <t>https://www.no-trouble.caa.go.jp/what/mailorder/rule.html(表示事項・付録B-6)</t>
        </is>
      </c>
      <c r="E17" s="5" t="inlineStr">
        <is>
          <t>守り部</t>
        </is>
      </c>
      <c r="F17" s="6" t="inlineStr">
        <is>
          <t>未着手</t>
        </is>
      </c>
      <c r="G17" s="7" t="n"/>
      <c r="H17" s="6" t="n"/>
    </row>
    <row r="18">
      <c r="A18" s="4" t="n">
        <v>11</v>
      </c>
      <c r="B18" s="5" t="inlineStr">
        <is>
          <t>LINEの転送先(Plan A専用 or ミカタ公式共用)</t>
        </is>
      </c>
      <c r="C18" s="5" t="inlineStr">
        <is>
          <t>決裁後 scripts/generate_go_pages.py の plan-a-line の dest を確定して再実行</t>
        </is>
      </c>
      <c r="D18" s="6" t="n"/>
      <c r="E18" s="5" t="inlineStr">
        <is>
          <t>小柳さん→❶</t>
        </is>
      </c>
      <c r="F18" s="6" t="inlineStr">
        <is>
          <t>未着手</t>
        </is>
      </c>
      <c r="G18" s="7" t="n"/>
      <c r="H18" s="6" t="n"/>
    </row>
    <row r="19">
      <c r="A19" s="4" t="n">
        <v>12</v>
      </c>
      <c r="B19" s="5" t="inlineStr">
        <is>
          <t>実在の作り手の写真(手・商品)と許諾書</t>
        </is>
      </c>
      <c r="C19" s="5" t="inlineStr">
        <is>
          <t>撮影。顔を載せるなら本人の許諾書</t>
        </is>
      </c>
      <c r="D19" s="6" t="n"/>
      <c r="E19" s="5" t="inlineStr">
        <is>
          <t>提携部・SNS部</t>
        </is>
      </c>
      <c r="F19" s="6" t="inlineStr">
        <is>
          <t>未着手</t>
        </is>
      </c>
      <c r="G19" s="7" t="n"/>
      <c r="H19" s="6" t="n"/>
    </row>
    <row r="20"/>
    <row r="21">
      <c r="E21" s="8" t="inlineStr">
        <is>
          <t>状態別件数</t>
        </is>
      </c>
    </row>
    <row r="22">
      <c r="E22" s="10" t="inlineStr">
        <is>
          <t>未着手</t>
        </is>
      </c>
      <c r="F22" s="10">
        <f>COUNTIF(F8:F19,E22)</f>
        <v/>
      </c>
    </row>
    <row r="23">
      <c r="E23" s="10" t="inlineStr">
        <is>
          <t>依頼中</t>
        </is>
      </c>
      <c r="F23" s="10">
        <f>COUNTIF(F8:F19,E23)</f>
        <v/>
      </c>
    </row>
    <row r="24">
      <c r="E24" s="10" t="inlineStr">
        <is>
          <t>取得済</t>
        </is>
      </c>
      <c r="F24" s="10">
        <f>COUNTIF(F8:F19,E24)</f>
        <v/>
      </c>
    </row>
    <row r="25">
      <c r="E25" s="10" t="inlineStr">
        <is>
          <t>反映済</t>
        </is>
      </c>
      <c r="F25" s="10">
        <f>COUNTIF(F8:F19,E25)</f>
        <v/>
      </c>
    </row>
  </sheetData>
  <dataValidations count="1">
    <dataValidation sqref="F8:F19" showDropDown="0" showInputMessage="0" showErrorMessage="0" allowBlank="1" error="未着手/依頼中/取得済/反映済 から選んでください" type="list">
      <formula1>"未着手,依頼中,取得済,反映済"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14" customWidth="1" min="4" max="4"/>
    <col width="13" customWidth="1" min="5" max="5"/>
    <col width="16" customWidth="1" min="6" max="6"/>
    <col width="22" customWidth="1" min="7" max="7"/>
    <col width="40" customWidth="1" min="8" max="8"/>
    <col width="10" customWidth="1" min="9" max="9"/>
    <col width="14" customWidth="1" min="10" max="10"/>
    <col width="44" customWidth="1" min="11" max="11"/>
  </cols>
  <sheetData>
    <row r="1">
      <c r="A1" s="1" t="inlineStr">
        <is>
          <t>Plan A LP 見出しテスト(公開前チェックリストv2 §1・生産者10人に読ませて記録)</t>
        </is>
      </c>
    </row>
    <row r="2">
      <c r="A2" s="2" t="inlineStr">
        <is>
          <t>やり方: 見出しA〜Dを紙1枚に印刷し、1人ずつ順番を変えて見せる。「どれが自分向きか」「どれが一番気になるか」「胡散臭いと感じたものは(複数可)」を聞き、理由を一言メモ。所要3分。</t>
        </is>
      </c>
    </row>
    <row r="3">
      <c r="A3" s="2" t="inlineStr">
        <is>
          <t>黄色=入力欄。自分向き・気になるはA/B/C/Dから1つ。胡散臭いは該当する列に○(複数可)。一番の心配は 費用/英語/騙されないか/手間/その他 から1つ。</t>
        </is>
      </c>
    </row>
    <row r="4">
      <c r="A4" s="2" t="inlineStr">
        <is>
          <t>判定: 「自分向き」最多をA案の見出しに。「胡散臭い」3人以上は不採用。Dが「気になる」最多かつ「胡散臭い」2人以下ならB案の見出し据え置き。</t>
        </is>
      </c>
    </row>
    <row r="5">
      <c r="A5" s="2" t="inlineStr">
        <is>
          <t>注意: 「例」行は記入見本(架空)。実測を始めるときに例行をクリアすること(集計はクリアするまで例行の票を含む)。</t>
        </is>
      </c>
    </row>
    <row r="6"/>
    <row r="7">
      <c r="A7" s="8" t="inlineStr">
        <is>
          <t>見出し一覧</t>
        </is>
      </c>
    </row>
    <row r="8">
      <c r="A8" s="8" t="inlineStr">
        <is>
          <t>A</t>
        </is>
      </c>
      <c r="B8" s="10" t="inlineStr">
        <is>
          <t>あなたの商品を探している海外の買い手に、日本語のまま届ける販路。</t>
        </is>
      </c>
    </row>
    <row r="9">
      <c r="A9" s="8" t="inlineStr">
        <is>
          <t>B</t>
        </is>
      </c>
      <c r="B9" s="10" t="inlineStr">
        <is>
          <t>畑と工房はそのまま。海外の売り先だけ、増やす。</t>
        </is>
      </c>
    </row>
    <row r="10">
      <c r="A10" s="8" t="inlineStr">
        <is>
          <t>C</t>
        </is>
      </c>
      <c r="B10" s="10" t="inlineStr">
        <is>
          <t>沖縄にいながら、200以上の国と地域のバイヤーへ。</t>
        </is>
      </c>
    </row>
    <row r="11">
      <c r="A11" s="8" t="inlineStr">
        <is>
          <t>D(B案)</t>
        </is>
      </c>
      <c r="B11" s="10" t="inlineStr">
        <is>
          <t>「英語ができないから」で、世界をあきらめるのは、今日で終わり。</t>
        </is>
      </c>
    </row>
    <row r="12"/>
    <row r="13">
      <c r="A13" s="3" t="inlineStr">
        <is>
          <t>No</t>
        </is>
      </c>
      <c r="B13" s="3" t="inlineStr">
        <is>
          <t>業種</t>
        </is>
      </c>
      <c r="C13" s="3" t="inlineStr">
        <is>
          <t>年代</t>
        </is>
      </c>
      <c r="D13" s="3" t="inlineStr">
        <is>
          <t>自分向き(A/B/C/D)</t>
        </is>
      </c>
      <c r="E13" s="3" t="inlineStr">
        <is>
          <t>気になる(A/B/C/D)</t>
        </is>
      </c>
      <c r="F13" s="3" t="inlineStr">
        <is>
          <t>胡散臭い:A</t>
        </is>
      </c>
      <c r="G13" s="3" t="inlineStr">
        <is>
          <t>胡散臭い:B</t>
        </is>
      </c>
      <c r="H13" s="3" t="inlineStr">
        <is>
          <t>胡散臭い:C</t>
        </is>
      </c>
      <c r="I13" s="3" t="inlineStr">
        <is>
          <t>胡散臭い:D</t>
        </is>
      </c>
      <c r="J13" s="3" t="inlineStr">
        <is>
          <t>一番の心配</t>
        </is>
      </c>
      <c r="K13" s="3" t="inlineStr">
        <is>
          <t>理由メモ</t>
        </is>
      </c>
    </row>
    <row r="14">
      <c r="A14" s="11" t="inlineStr">
        <is>
          <t>例</t>
        </is>
      </c>
      <c r="B14" s="6" t="inlineStr">
        <is>
          <t>黒糖加工(例)</t>
        </is>
      </c>
      <c r="C14" s="6" t="inlineStr">
        <is>
          <t>60代(例)</t>
        </is>
      </c>
      <c r="D14" s="12" t="inlineStr">
        <is>
          <t>B</t>
        </is>
      </c>
      <c r="E14" s="12" t="inlineStr">
        <is>
          <t>D</t>
        </is>
      </c>
      <c r="F14" s="12" t="n"/>
      <c r="G14" s="12" t="n"/>
      <c r="H14" s="12" t="inlineStr">
        <is>
          <t>○</t>
        </is>
      </c>
      <c r="I14" s="12" t="n"/>
      <c r="J14" s="12" t="inlineStr">
        <is>
          <t>費用</t>
        </is>
      </c>
      <c r="K14" s="6" t="inlineStr">
        <is>
          <t>(記入見本)数字が多い見出しは売り込みに見える、など一言</t>
        </is>
      </c>
    </row>
    <row r="15">
      <c r="A15" s="4" t="n">
        <v>1</v>
      </c>
      <c r="B15" s="6" t="n"/>
      <c r="C15" s="6" t="n"/>
      <c r="D15" s="12" t="n"/>
      <c r="E15" s="12" t="n"/>
      <c r="F15" s="12" t="n"/>
      <c r="G15" s="12" t="n"/>
      <c r="H15" s="12" t="n"/>
      <c r="I15" s="12" t="n"/>
      <c r="J15" s="12" t="n"/>
      <c r="K15" s="6" t="n"/>
    </row>
    <row r="16">
      <c r="A16" s="4" t="n">
        <v>2</v>
      </c>
      <c r="B16" s="6" t="n"/>
      <c r="C16" s="6" t="n"/>
      <c r="D16" s="12" t="n"/>
      <c r="E16" s="12" t="n"/>
      <c r="F16" s="12" t="n"/>
      <c r="G16" s="12" t="n"/>
      <c r="H16" s="12" t="n"/>
      <c r="I16" s="12" t="n"/>
      <c r="J16" s="12" t="n"/>
      <c r="K16" s="6" t="n"/>
    </row>
    <row r="17">
      <c r="A17" s="4" t="n">
        <v>3</v>
      </c>
      <c r="B17" s="6" t="n"/>
      <c r="C17" s="6" t="n"/>
      <c r="D17" s="12" t="n"/>
      <c r="E17" s="12" t="n"/>
      <c r="F17" s="12" t="n"/>
      <c r="G17" s="12" t="n"/>
      <c r="H17" s="12" t="n"/>
      <c r="I17" s="12" t="n"/>
      <c r="J17" s="12" t="n"/>
      <c r="K17" s="6" t="n"/>
    </row>
    <row r="18">
      <c r="A18" s="4" t="n">
        <v>4</v>
      </c>
      <c r="B18" s="6" t="n"/>
      <c r="C18" s="6" t="n"/>
      <c r="D18" s="12" t="n"/>
      <c r="E18" s="12" t="n"/>
      <c r="F18" s="12" t="n"/>
      <c r="G18" s="12" t="n"/>
      <c r="H18" s="12" t="n"/>
      <c r="I18" s="12" t="n"/>
      <c r="J18" s="12" t="n"/>
      <c r="K18" s="6" t="n"/>
    </row>
    <row r="19">
      <c r="A19" s="4" t="n">
        <v>5</v>
      </c>
      <c r="B19" s="6" t="n"/>
      <c r="C19" s="6" t="n"/>
      <c r="D19" s="12" t="n"/>
      <c r="E19" s="12" t="n"/>
      <c r="F19" s="12" t="n"/>
      <c r="G19" s="12" t="n"/>
      <c r="H19" s="12" t="n"/>
      <c r="I19" s="12" t="n"/>
      <c r="J19" s="12" t="n"/>
      <c r="K19" s="6" t="n"/>
    </row>
    <row r="20">
      <c r="A20" s="4" t="n">
        <v>6</v>
      </c>
      <c r="B20" s="6" t="n"/>
      <c r="C20" s="6" t="n"/>
      <c r="D20" s="12" t="n"/>
      <c r="E20" s="12" t="n"/>
      <c r="F20" s="12" t="n"/>
      <c r="G20" s="12" t="n"/>
      <c r="H20" s="12" t="n"/>
      <c r="I20" s="12" t="n"/>
      <c r="J20" s="12" t="n"/>
      <c r="K20" s="6" t="n"/>
    </row>
    <row r="21">
      <c r="A21" s="4" t="n">
        <v>7</v>
      </c>
      <c r="B21" s="6" t="n"/>
      <c r="C21" s="6" t="n"/>
      <c r="D21" s="12" t="n"/>
      <c r="E21" s="12" t="n"/>
      <c r="F21" s="12" t="n"/>
      <c r="G21" s="12" t="n"/>
      <c r="H21" s="12" t="n"/>
      <c r="I21" s="12" t="n"/>
      <c r="J21" s="12" t="n"/>
      <c r="K21" s="6" t="n"/>
    </row>
    <row r="22">
      <c r="A22" s="4" t="n">
        <v>8</v>
      </c>
      <c r="B22" s="6" t="n"/>
      <c r="C22" s="6" t="n"/>
      <c r="D22" s="12" t="n"/>
      <c r="E22" s="12" t="n"/>
      <c r="F22" s="12" t="n"/>
      <c r="G22" s="12" t="n"/>
      <c r="H22" s="12" t="n"/>
      <c r="I22" s="12" t="n"/>
      <c r="J22" s="12" t="n"/>
      <c r="K22" s="6" t="n"/>
    </row>
    <row r="23">
      <c r="A23" s="4" t="n">
        <v>9</v>
      </c>
      <c r="B23" s="6" t="n"/>
      <c r="C23" s="6" t="n"/>
      <c r="D23" s="12" t="n"/>
      <c r="E23" s="12" t="n"/>
      <c r="F23" s="12" t="n"/>
      <c r="G23" s="12" t="n"/>
      <c r="H23" s="12" t="n"/>
      <c r="I23" s="12" t="n"/>
      <c r="J23" s="12" t="n"/>
      <c r="K23" s="6" t="n"/>
    </row>
    <row r="24">
      <c r="A24" s="4" t="n">
        <v>10</v>
      </c>
      <c r="B24" s="6" t="n"/>
      <c r="C24" s="6" t="n"/>
      <c r="D24" s="12" t="n"/>
      <c r="E24" s="12" t="n"/>
      <c r="F24" s="12" t="n"/>
      <c r="G24" s="12" t="n"/>
      <c r="H24" s="12" t="n"/>
      <c r="I24" s="12" t="n"/>
      <c r="J24" s="12" t="n"/>
      <c r="K24" s="6" t="n"/>
    </row>
    <row r="25"/>
    <row r="26">
      <c r="A26" s="8" t="inlineStr">
        <is>
          <t>集計(自動計算。入力不要)</t>
        </is>
      </c>
    </row>
    <row r="27">
      <c r="A27" s="3" t="inlineStr">
        <is>
          <t>記号</t>
        </is>
      </c>
      <c r="B27" s="3" t="inlineStr">
        <is>
          <t>見出し</t>
        </is>
      </c>
      <c r="C27" s="3" t="inlineStr">
        <is>
          <t>自分向き(票)</t>
        </is>
      </c>
      <c r="D27" s="3" t="inlineStr">
        <is>
          <t>気になる(票)</t>
        </is>
      </c>
      <c r="E27" s="3" t="inlineStr">
        <is>
          <t>胡散臭い(票)</t>
        </is>
      </c>
      <c r="F27" s="3" t="inlineStr">
        <is>
          <t>判定: 自分向き</t>
        </is>
      </c>
      <c r="G27" s="3" t="inlineStr">
        <is>
          <t>判定: 胡散臭い</t>
        </is>
      </c>
      <c r="H27" s="3" t="inlineStr">
        <is>
          <t>判定: B案見出し(Dのみ)</t>
        </is>
      </c>
    </row>
    <row r="28">
      <c r="A28" s="4" t="inlineStr">
        <is>
          <t>A</t>
        </is>
      </c>
      <c r="B28" s="5" t="inlineStr">
        <is>
          <t>あなたの商品を探している海外の買い手に、日本語のまま届ける販路。</t>
        </is>
      </c>
      <c r="C28" s="4">
        <f>COUNTIF($D$14:$D$24,"A")</f>
        <v/>
      </c>
      <c r="D28" s="4">
        <f>COUNTIF($E$14:$E$24,"A")</f>
        <v/>
      </c>
      <c r="E28" s="4">
        <f>COUNTIF($F$14:$F$24,"○")</f>
        <v/>
      </c>
      <c r="F28" s="5">
        <f>IF(SUM($C$28:$C$31)=0,"(未入力)",IF(C28=MAX($C$28:$C$31),"自分向き最多",""))</f>
        <v/>
      </c>
      <c r="G28" s="5">
        <f>IF(E28&gt;=3,"胡散臭い3人以上は不採用","")</f>
        <v/>
      </c>
      <c r="H28" s="5" t="inlineStr">
        <is>
          <t>—</t>
        </is>
      </c>
    </row>
    <row r="29">
      <c r="A29" s="4" t="inlineStr">
        <is>
          <t>B</t>
        </is>
      </c>
      <c r="B29" s="5" t="inlineStr">
        <is>
          <t>畑と工房はそのまま。海外の売り先だけ、増やす。</t>
        </is>
      </c>
      <c r="C29" s="4">
        <f>COUNTIF($D$14:$D$24,"B")</f>
        <v/>
      </c>
      <c r="D29" s="4">
        <f>COUNTIF($E$14:$E$24,"B")</f>
        <v/>
      </c>
      <c r="E29" s="4">
        <f>COUNTIF($G$14:$G$24,"○")</f>
        <v/>
      </c>
      <c r="F29" s="5">
        <f>IF(SUM($C$28:$C$31)=0,"(未入力)",IF(C29=MAX($C$28:$C$31),"自分向き最多",""))</f>
        <v/>
      </c>
      <c r="G29" s="5">
        <f>IF(E29&gt;=3,"胡散臭い3人以上は不採用","")</f>
        <v/>
      </c>
      <c r="H29" s="5" t="inlineStr">
        <is>
          <t>—</t>
        </is>
      </c>
    </row>
    <row r="30">
      <c r="A30" s="4" t="inlineStr">
        <is>
          <t>C</t>
        </is>
      </c>
      <c r="B30" s="5" t="inlineStr">
        <is>
          <t>沖縄にいながら、200以上の国と地域のバイヤーへ。</t>
        </is>
      </c>
      <c r="C30" s="4">
        <f>COUNTIF($D$14:$D$24,"C")</f>
        <v/>
      </c>
      <c r="D30" s="4">
        <f>COUNTIF($E$14:$E$24,"C")</f>
        <v/>
      </c>
      <c r="E30" s="4">
        <f>COUNTIF($H$14:$H$24,"○")</f>
        <v/>
      </c>
      <c r="F30" s="5">
        <f>IF(SUM($C$28:$C$31)=0,"(未入力)",IF(C30=MAX($C$28:$C$31),"自分向き最多",""))</f>
        <v/>
      </c>
      <c r="G30" s="5">
        <f>IF(E30&gt;=3,"胡散臭い3人以上は不採用","")</f>
        <v/>
      </c>
      <c r="H30" s="5" t="inlineStr">
        <is>
          <t>—</t>
        </is>
      </c>
    </row>
    <row r="31">
      <c r="A31" s="4" t="inlineStr">
        <is>
          <t>D(B案)</t>
        </is>
      </c>
      <c r="B31" s="5" t="inlineStr">
        <is>
          <t>「英語ができないから」で、世界をあきらめるのは、今日で終わり。</t>
        </is>
      </c>
      <c r="C31" s="4">
        <f>COUNTIF($D$14:$D$24,"D")</f>
        <v/>
      </c>
      <c r="D31" s="4">
        <f>COUNTIF($E$14:$E$24,"D")</f>
        <v/>
      </c>
      <c r="E31" s="4">
        <f>COUNTIF($I$14:$I$24,"○")</f>
        <v/>
      </c>
      <c r="F31" s="5">
        <f>IF(SUM($C$28:$C$31)=0,"(未入力)",IF(C31=MAX($C$28:$C$31),"自分向き最多",""))</f>
        <v/>
      </c>
      <c r="G31" s="5">
        <f>IF(E31&gt;=3,"胡散臭い3人以上は不採用","")</f>
        <v/>
      </c>
      <c r="H31" s="5">
        <f>IF(SUM($D$28:$D$31)=0,"(未入力)",IF(AND(D31=MAX($D$28:$D$31),E31&lt;=2),"気になる最多かつ胡散臭い2人以下→B案見出し据え置き","見直し(気になる最多でない、または胡散臭い3人以上)"))</f>
        <v/>
      </c>
    </row>
    <row r="32">
      <c r="B32" s="10" t="inlineStr">
        <is>
          <t>回答者数(自分向きの入力数)</t>
        </is>
      </c>
      <c r="C32" s="13">
        <f>COUNTA($D$14:$D$24)</f>
        <v/>
      </c>
      <c r="D32" s="2" t="inlineStr">
        <is>
          <t>※「自分向き最多」が同数で複数出たら、小柳さん決裁(決裁事項No.5)</t>
        </is>
      </c>
    </row>
    <row r="33"/>
    <row r="34">
      <c r="A34" s="8" t="inlineStr">
        <is>
          <t>「海外に売ると聞いて、まず何が心配?」の内訳(比較表と3つのゼロの順番を入れ替える判断材料)</t>
        </is>
      </c>
    </row>
    <row r="35">
      <c r="A35" s="3" t="inlineStr">
        <is>
          <t>心配</t>
        </is>
      </c>
      <c r="B35" s="3" t="inlineStr">
        <is>
          <t>人数</t>
        </is>
      </c>
      <c r="C35" s="3" t="inlineStr">
        <is>
          <t>割合</t>
        </is>
      </c>
    </row>
    <row r="36">
      <c r="A36" s="5" t="inlineStr">
        <is>
          <t>費用</t>
        </is>
      </c>
      <c r="B36" s="4">
        <f>COUNTIF($J$14:$J$24,A36)</f>
        <v/>
      </c>
      <c r="C36" s="14">
        <f>IF(COUNTA($J$14:$J$24)=0,"",B36/COUNTA($J$14:$J$24))</f>
        <v/>
      </c>
    </row>
    <row r="37">
      <c r="A37" s="5" t="inlineStr">
        <is>
          <t>英語</t>
        </is>
      </c>
      <c r="B37" s="4">
        <f>COUNTIF($J$14:$J$24,A37)</f>
        <v/>
      </c>
      <c r="C37" s="14">
        <f>IF(COUNTA($J$14:$J$24)=0,"",B37/COUNTA($J$14:$J$24))</f>
        <v/>
      </c>
    </row>
    <row r="38">
      <c r="A38" s="5" t="inlineStr">
        <is>
          <t>騙されないか</t>
        </is>
      </c>
      <c r="B38" s="4">
        <f>COUNTIF($J$14:$J$24,A38)</f>
        <v/>
      </c>
      <c r="C38" s="14">
        <f>IF(COUNTA($J$14:$J$24)=0,"",B38/COUNTA($J$14:$J$24))</f>
        <v/>
      </c>
    </row>
    <row r="39">
      <c r="A39" s="5" t="inlineStr">
        <is>
          <t>手間</t>
        </is>
      </c>
      <c r="B39" s="4">
        <f>COUNTIF($J$14:$J$24,A39)</f>
        <v/>
      </c>
      <c r="C39" s="14">
        <f>IF(COUNTA($J$14:$J$24)=0,"",B39/COUNTA($J$14:$J$24))</f>
        <v/>
      </c>
    </row>
    <row r="40">
      <c r="A40" s="5" t="inlineStr">
        <is>
          <t>その他</t>
        </is>
      </c>
      <c r="B40" s="4">
        <f>COUNTIF($J$14:$J$24,A40)</f>
        <v/>
      </c>
      <c r="C40" s="14">
        <f>IF(COUNTA($J$14:$J$24)=0,"",B40/COUNTA($J$14:$J$24))</f>
        <v/>
      </c>
    </row>
    <row r="41">
      <c r="A41" s="8" t="inlineStr">
        <is>
          <t>合計</t>
        </is>
      </c>
      <c r="B41" s="15">
        <f>SUM(B36:B40)</f>
        <v/>
      </c>
    </row>
    <row r="42">
      <c r="A42" s="8" t="inlineStr">
        <is>
          <t>判定</t>
        </is>
      </c>
      <c r="B42" s="10">
        <f>IF(SUM(B36:B40)=0,"(未入力)","最多: "&amp;INDEX(A36:A40,MATCH(MAX(B36:B40),B36:B40,0))&amp;" → 費用が多ければ費用の段を上へ、騙されないか・英語が多ければ取引保護と日本語の段を上へ")</f>
        <v/>
      </c>
    </row>
  </sheetData>
  <dataValidations count="3">
    <dataValidation sqref="D14:E24" showDropDown="0" showInputMessage="0" showErrorMessage="0" allowBlank="1" type="list">
      <formula1>"A,B,C,D"</formula1>
    </dataValidation>
    <dataValidation sqref="F14:I24" showDropDown="0" showInputMessage="0" showErrorMessage="0" allowBlank="1" type="list">
      <formula1>"○"</formula1>
    </dataValidation>
    <dataValidation sqref="J14:J24" showDropDown="0" showInputMessage="0" showErrorMessage="0" allowBlank="1" type="list">
      <formula1>"費用,英語,騙されないか,手間,その他"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3" customWidth="1" min="4" max="4"/>
    <col width="13" customWidth="1" min="5" max="5"/>
    <col width="9" customWidth="1" min="6" max="6"/>
    <col width="9" customWidth="1" min="7" max="7"/>
    <col width="10" customWidth="1" min="8" max="8"/>
    <col width="11" customWidth="1" min="9" max="9"/>
    <col width="10" customWidth="1" min="10" max="10"/>
    <col width="15" customWidth="1" min="11" max="11"/>
    <col width="10" customWidth="1" min="12" max="12"/>
    <col width="10" customWidth="1" min="13" max="13"/>
    <col width="13" customWidth="1" min="14" max="14"/>
    <col width="44" customWidth="1" min="15" max="15"/>
  </cols>
  <sheetData>
    <row r="1">
      <c r="A1" s="1" t="inlineStr">
        <is>
          <t>Plan A LP 週次KPI(構成設計書v2 §5 計測・チェックリストv2 §4)</t>
        </is>
      </c>
    </row>
    <row r="2">
      <c r="A2" s="2" t="inlineStr">
        <is>
          <t>【実数のみ・推測値禁止】黄色の入力欄には GA4 等の計測値と LINE・説明会・契約の実件数だけを書く。見込み・按分・推定は書かない(絶対ルール1)。</t>
        </is>
      </c>
    </row>
    <row r="3">
      <c r="A3" s="2" t="inlineStr">
        <is>
          <t>イベント対応: 表示=plan_a_view(variant=a/b) / CTAクリック=plan_a_cta_click / 転送=plan_a_line_redirect(channel=plan-a-line) / LINE相談=LINE内「海外」送信 / 説明会参加・第1期契約=実件数。</t>
        </is>
      </c>
    </row>
    <row r="4">
      <c r="A4" s="2" t="inlineStr">
        <is>
          <t>相談率=LINE相談÷(A案表示+B案表示)。初期目安3%。A/B差=転送率(転送÷表示)の高い方÷低い方。判定可の条件=差1.5倍以上かつ各案50訪問以上(累計行で見る)。</t>
        </is>
      </c>
    </row>
    <row r="5">
      <c r="A5" s="2" t="inlineStr">
        <is>
          <t>ミカタのLINE登録1,000社(KGI)とは別軸。統合週次レポには「Plan A」欄として別立てで転記する(混ぜない)。</t>
        </is>
      </c>
    </row>
    <row r="6"/>
    <row r="7">
      <c r="A7" s="3" t="inlineStr">
        <is>
          <t>週(開始日)</t>
        </is>
      </c>
      <c r="B7" s="3" t="inlineStr">
        <is>
          <t>A案表示</t>
        </is>
      </c>
      <c r="C7" s="3" t="inlineStr">
        <is>
          <t>B案表示</t>
        </is>
      </c>
      <c r="D7" s="3" t="inlineStr">
        <is>
          <t>CTAクリックA</t>
        </is>
      </c>
      <c r="E7" s="3" t="inlineStr">
        <is>
          <t>CTAクリックB</t>
        </is>
      </c>
      <c r="F7" s="3" t="inlineStr">
        <is>
          <t>転送A</t>
        </is>
      </c>
      <c r="G7" s="3" t="inlineStr">
        <is>
          <t>転送B</t>
        </is>
      </c>
      <c r="H7" s="3" t="inlineStr">
        <is>
          <t>LINE相談</t>
        </is>
      </c>
      <c r="I7" s="3" t="inlineStr">
        <is>
          <t>説明会参加</t>
        </is>
      </c>
      <c r="J7" s="3" t="inlineStr">
        <is>
          <t>第1期契約</t>
        </is>
      </c>
      <c r="K7" s="3" t="inlineStr">
        <is>
          <t>相談率(相談/表示)</t>
        </is>
      </c>
      <c r="L7" s="3" t="inlineStr">
        <is>
          <t>転送率A</t>
        </is>
      </c>
      <c r="M7" s="3" t="inlineStr">
        <is>
          <t>転送率B</t>
        </is>
      </c>
      <c r="N7" s="3" t="inlineStr">
        <is>
          <t>A/B差(倍率)</t>
        </is>
      </c>
      <c r="O7" s="3" t="inlineStr">
        <is>
          <t>判定</t>
        </is>
      </c>
    </row>
    <row r="8">
      <c r="A8" s="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7">
        <f>IF(SUM(B8:C8)=0,"",H8/SUM(B8:C8))</f>
        <v/>
      </c>
      <c r="L8" s="17">
        <f>IF(N(B8)=0,"",F8/B8)</f>
        <v/>
      </c>
      <c r="M8" s="17">
        <f>IF(N(C8)=0,"",G8/C8)</f>
        <v/>
      </c>
      <c r="N8" s="18">
        <f>IF(OR(L8="",M8="",MIN(L8,M8)=0),"",MAX(L8,M8)/MIN(L8,M8))</f>
        <v/>
      </c>
      <c r="O8" s="5">
        <f>IF(OR(N(B8)=0,N(C8)=0),"",IF(AND(B8&gt;=50,C8&gt;=50,N8&lt;&gt;"",N8&gt;=1.5),"判定可: "&amp;IF(L8&gt;M8,"A案","B案")&amp;"優勢(差"&amp;TEXT(N8,"0.0")&amp;"倍)","判定不可(各案50訪問以上かつ差1.5倍以上が条件)"))</f>
        <v/>
      </c>
    </row>
    <row r="9">
      <c r="A9" s="7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7">
        <f>IF(SUM(B9:C9)=0,"",H9/SUM(B9:C9))</f>
        <v/>
      </c>
      <c r="L9" s="17">
        <f>IF(N(B9)=0,"",F9/B9)</f>
        <v/>
      </c>
      <c r="M9" s="17">
        <f>IF(N(C9)=0,"",G9/C9)</f>
        <v/>
      </c>
      <c r="N9" s="18">
        <f>IF(OR(L9="",M9="",MIN(L9,M9)=0),"",MAX(L9,M9)/MIN(L9,M9))</f>
        <v/>
      </c>
      <c r="O9" s="5">
        <f>IF(OR(N(B9)=0,N(C9)=0),"",IF(AND(B9&gt;=50,C9&gt;=50,N9&lt;&gt;"",N9&gt;=1.5),"判定可: "&amp;IF(L9&gt;M9,"A案","B案")&amp;"優勢(差"&amp;TEXT(N9,"0.0")&amp;"倍)","判定不可(各案50訪問以上かつ差1.5倍以上が条件)"))</f>
        <v/>
      </c>
    </row>
    <row r="10">
      <c r="A10" s="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7">
        <f>IF(SUM(B10:C10)=0,"",H10/SUM(B10:C10))</f>
        <v/>
      </c>
      <c r="L10" s="17">
        <f>IF(N(B10)=0,"",F10/B10)</f>
        <v/>
      </c>
      <c r="M10" s="17">
        <f>IF(N(C10)=0,"",G10/C10)</f>
        <v/>
      </c>
      <c r="N10" s="18">
        <f>IF(OR(L10="",M10="",MIN(L10,M10)=0),"",MAX(L10,M10)/MIN(L10,M10))</f>
        <v/>
      </c>
      <c r="O10" s="5">
        <f>IF(OR(N(B10)=0,N(C10)=0),"",IF(AND(B10&gt;=50,C10&gt;=50,N10&lt;&gt;"",N10&gt;=1.5),"判定可: "&amp;IF(L10&gt;M10,"A案","B案")&amp;"優勢(差"&amp;TEXT(N10,"0.0")&amp;"倍)","判定不可(各案50訪問以上かつ差1.5倍以上が条件)"))</f>
        <v/>
      </c>
    </row>
    <row r="11">
      <c r="A11" s="7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7">
        <f>IF(SUM(B11:C11)=0,"",H11/SUM(B11:C11))</f>
        <v/>
      </c>
      <c r="L11" s="17">
        <f>IF(N(B11)=0,"",F11/B11)</f>
        <v/>
      </c>
      <c r="M11" s="17">
        <f>IF(N(C11)=0,"",G11/C11)</f>
        <v/>
      </c>
      <c r="N11" s="18">
        <f>IF(OR(L11="",M11="",MIN(L11,M11)=0),"",MAX(L11,M11)/MIN(L11,M11))</f>
        <v/>
      </c>
      <c r="O11" s="5">
        <f>IF(OR(N(B11)=0,N(C11)=0),"",IF(AND(B11&gt;=50,C11&gt;=50,N11&lt;&gt;"",N11&gt;=1.5),"判定可: "&amp;IF(L11&gt;M11,"A案","B案")&amp;"優勢(差"&amp;TEXT(N11,"0.0")&amp;"倍)","判定不可(各案50訪問以上かつ差1.5倍以上が条件)"))</f>
        <v/>
      </c>
    </row>
    <row r="12">
      <c r="A12" s="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7">
        <f>IF(SUM(B12:C12)=0,"",H12/SUM(B12:C12))</f>
        <v/>
      </c>
      <c r="L12" s="17">
        <f>IF(N(B12)=0,"",F12/B12)</f>
        <v/>
      </c>
      <c r="M12" s="17">
        <f>IF(N(C12)=0,"",G12/C12)</f>
        <v/>
      </c>
      <c r="N12" s="18">
        <f>IF(OR(L12="",M12="",MIN(L12,M12)=0),"",MAX(L12,M12)/MIN(L12,M12))</f>
        <v/>
      </c>
      <c r="O12" s="5">
        <f>IF(OR(N(B12)=0,N(C12)=0),"",IF(AND(B12&gt;=50,C12&gt;=50,N12&lt;&gt;"",N12&gt;=1.5),"判定可: "&amp;IF(L12&gt;M12,"A案","B案")&amp;"優勢(差"&amp;TEXT(N12,"0.0")&amp;"倍)","判定不可(各案50訪問以上かつ差1.5倍以上が条件)"))</f>
        <v/>
      </c>
    </row>
    <row r="13">
      <c r="A13" s="7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7">
        <f>IF(SUM(B13:C13)=0,"",H13/SUM(B13:C13))</f>
        <v/>
      </c>
      <c r="L13" s="17">
        <f>IF(N(B13)=0,"",F13/B13)</f>
        <v/>
      </c>
      <c r="M13" s="17">
        <f>IF(N(C13)=0,"",G13/C13)</f>
        <v/>
      </c>
      <c r="N13" s="18">
        <f>IF(OR(L13="",M13="",MIN(L13,M13)=0),"",MAX(L13,M13)/MIN(L13,M13))</f>
        <v/>
      </c>
      <c r="O13" s="5">
        <f>IF(OR(N(B13)=0,N(C13)=0),"",IF(AND(B13&gt;=50,C13&gt;=50,N13&lt;&gt;"",N13&gt;=1.5),"判定可: "&amp;IF(L13&gt;M13,"A案","B案")&amp;"優勢(差"&amp;TEXT(N13,"0.0")&amp;"倍)","判定不可(各案50訪問以上かつ差1.5倍以上が条件)"))</f>
        <v/>
      </c>
    </row>
    <row r="14">
      <c r="A14" s="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7">
        <f>IF(SUM(B14:C14)=0,"",H14/SUM(B14:C14))</f>
        <v/>
      </c>
      <c r="L14" s="17">
        <f>IF(N(B14)=0,"",F14/B14)</f>
        <v/>
      </c>
      <c r="M14" s="17">
        <f>IF(N(C14)=0,"",G14/C14)</f>
        <v/>
      </c>
      <c r="N14" s="18">
        <f>IF(OR(L14="",M14="",MIN(L14,M14)=0),"",MAX(L14,M14)/MIN(L14,M14))</f>
        <v/>
      </c>
      <c r="O14" s="5">
        <f>IF(OR(N(B14)=0,N(C14)=0),"",IF(AND(B14&gt;=50,C14&gt;=50,N14&lt;&gt;"",N14&gt;=1.5),"判定可: "&amp;IF(L14&gt;M14,"A案","B案")&amp;"優勢(差"&amp;TEXT(N14,"0.0")&amp;"倍)","判定不可(各案50訪問以上かつ差1.5倍以上が条件)"))</f>
        <v/>
      </c>
    </row>
    <row r="15">
      <c r="A15" s="7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>
        <f>IF(SUM(B15:C15)=0,"",H15/SUM(B15:C15))</f>
        <v/>
      </c>
      <c r="L15" s="17">
        <f>IF(N(B15)=0,"",F15/B15)</f>
        <v/>
      </c>
      <c r="M15" s="17">
        <f>IF(N(C15)=0,"",G15/C15)</f>
        <v/>
      </c>
      <c r="N15" s="18">
        <f>IF(OR(L15="",M15="",MIN(L15,M15)=0),"",MAX(L15,M15)/MIN(L15,M15))</f>
        <v/>
      </c>
      <c r="O15" s="5">
        <f>IF(OR(N(B15)=0,N(C15)=0),"",IF(AND(B15&gt;=50,C15&gt;=50,N15&lt;&gt;"",N15&gt;=1.5),"判定可: "&amp;IF(L15&gt;M15,"A案","B案")&amp;"優勢(差"&amp;TEXT(N15,"0.0")&amp;"倍)","判定不可(各案50訪問以上かつ差1.5倍以上が条件)"))</f>
        <v/>
      </c>
    </row>
    <row r="16">
      <c r="A16" s="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7">
        <f>IF(SUM(B16:C16)=0,"",H16/SUM(B16:C16))</f>
        <v/>
      </c>
      <c r="L16" s="17">
        <f>IF(N(B16)=0,"",F16/B16)</f>
        <v/>
      </c>
      <c r="M16" s="17">
        <f>IF(N(C16)=0,"",G16/C16)</f>
        <v/>
      </c>
      <c r="N16" s="18">
        <f>IF(OR(L16="",M16="",MIN(L16,M16)=0),"",MAX(L16,M16)/MIN(L16,M16))</f>
        <v/>
      </c>
      <c r="O16" s="5">
        <f>IF(OR(N(B16)=0,N(C16)=0),"",IF(AND(B16&gt;=50,C16&gt;=50,N16&lt;&gt;"",N16&gt;=1.5),"判定可: "&amp;IF(L16&gt;M16,"A案","B案")&amp;"優勢(差"&amp;TEXT(N16,"0.0")&amp;"倍)","判定不可(各案50訪問以上かつ差1.5倍以上が条件)"))</f>
        <v/>
      </c>
    </row>
    <row r="17">
      <c r="A17" s="7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7">
        <f>IF(SUM(B17:C17)=0,"",H17/SUM(B17:C17))</f>
        <v/>
      </c>
      <c r="L17" s="17">
        <f>IF(N(B17)=0,"",F17/B17)</f>
        <v/>
      </c>
      <c r="M17" s="17">
        <f>IF(N(C17)=0,"",G17/C17)</f>
        <v/>
      </c>
      <c r="N17" s="18">
        <f>IF(OR(L17="",M17="",MIN(L17,M17)=0),"",MAX(L17,M17)/MIN(L17,M17))</f>
        <v/>
      </c>
      <c r="O17" s="5">
        <f>IF(OR(N(B17)=0,N(C17)=0),"",IF(AND(B17&gt;=50,C17&gt;=50,N17&lt;&gt;"",N17&gt;=1.5),"判定可: "&amp;IF(L17&gt;M17,"A案","B案")&amp;"優勢(差"&amp;TEXT(N17,"0.0")&amp;"倍)","判定不可(各案50訪問以上かつ差1.5倍以上が条件)"))</f>
        <v/>
      </c>
    </row>
    <row r="18">
      <c r="A18" s="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7">
        <f>IF(SUM(B18:C18)=0,"",H18/SUM(B18:C18))</f>
        <v/>
      </c>
      <c r="L18" s="17">
        <f>IF(N(B18)=0,"",F18/B18)</f>
        <v/>
      </c>
      <c r="M18" s="17">
        <f>IF(N(C18)=0,"",G18/C18)</f>
        <v/>
      </c>
      <c r="N18" s="18">
        <f>IF(OR(L18="",M18="",MIN(L18,M18)=0),"",MAX(L18,M18)/MIN(L18,M18))</f>
        <v/>
      </c>
      <c r="O18" s="5">
        <f>IF(OR(N(B18)=0,N(C18)=0),"",IF(AND(B18&gt;=50,C18&gt;=50,N18&lt;&gt;"",N18&gt;=1.5),"判定可: "&amp;IF(L18&gt;M18,"A案","B案")&amp;"優勢(差"&amp;TEXT(N18,"0.0")&amp;"倍)","判定不可(各案50訪問以上かつ差1.5倍以上が条件)"))</f>
        <v/>
      </c>
    </row>
    <row r="19">
      <c r="A19" s="7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7">
        <f>IF(SUM(B19:C19)=0,"",H19/SUM(B19:C19))</f>
        <v/>
      </c>
      <c r="L19" s="17">
        <f>IF(N(B19)=0,"",F19/B19)</f>
        <v/>
      </c>
      <c r="M19" s="17">
        <f>IF(N(C19)=0,"",G19/C19)</f>
        <v/>
      </c>
      <c r="N19" s="18">
        <f>IF(OR(L19="",M19="",MIN(L19,M19)=0),"",MAX(L19,M19)/MIN(L19,M19))</f>
        <v/>
      </c>
      <c r="O19" s="5">
        <f>IF(OR(N(B19)=0,N(C19)=0),"",IF(AND(B19&gt;=50,C19&gt;=50,N19&lt;&gt;"",N19&gt;=1.5),"判定可: "&amp;IF(L19&gt;M19,"A案","B案")&amp;"優勢(差"&amp;TEXT(N19,"0.0")&amp;"倍)","判定不可(各案50訪問以上かつ差1.5倍以上が条件)"))</f>
        <v/>
      </c>
    </row>
    <row r="20">
      <c r="A20" s="19" t="inlineStr">
        <is>
          <t>累計</t>
        </is>
      </c>
      <c r="B20" s="20">
        <f>SUM(B8:B19)</f>
        <v/>
      </c>
      <c r="C20" s="20">
        <f>SUM(C8:C19)</f>
        <v/>
      </c>
      <c r="D20" s="20">
        <f>SUM(D8:D19)</f>
        <v/>
      </c>
      <c r="E20" s="20">
        <f>SUM(E8:E19)</f>
        <v/>
      </c>
      <c r="F20" s="20">
        <f>SUM(F8:F19)</f>
        <v/>
      </c>
      <c r="G20" s="20">
        <f>SUM(G8:G19)</f>
        <v/>
      </c>
      <c r="H20" s="20">
        <f>SUM(H8:H19)</f>
        <v/>
      </c>
      <c r="I20" s="20">
        <f>SUM(I8:I19)</f>
        <v/>
      </c>
      <c r="J20" s="20">
        <f>SUM(J8:J19)</f>
        <v/>
      </c>
      <c r="K20" s="21">
        <f>IF(SUM(B20:C20)=0,"",H20/SUM(B20:C20))</f>
        <v/>
      </c>
      <c r="L20" s="21">
        <f>IF(N(B20)=0,"",F20/B20)</f>
        <v/>
      </c>
      <c r="M20" s="21">
        <f>IF(N(C20)=0,"",G20/C20)</f>
        <v/>
      </c>
      <c r="N20" s="22">
        <f>IF(OR(L20="",M20="",MIN(L20,M20)=0),"",MAX(L20,M20)/MIN(L20,M20))</f>
        <v/>
      </c>
      <c r="O20" s="19">
        <f>IF(OR(N(B20)=0,N(C20)=0),"",IF(AND(B20&gt;=50,C20&gt;=50,N20&lt;&gt;"",N20&gt;=1.5),"判定可: "&amp;IF(L20&gt;M20,"A案","B案")&amp;"優勢(差"&amp;TEXT(N20,"0.0")&amp;"倍)","判定不可(各案50訪問以上かつ差1.5倍以上が条件)"))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70" customWidth="1" min="2" max="2"/>
    <col width="24" customWidth="1" min="3" max="3"/>
    <col width="36" customWidth="1" min="4" max="4"/>
    <col width="11" customWidth="1" min="5" max="5"/>
  </cols>
  <sheetData>
    <row r="1">
      <c r="A1" s="1" t="inlineStr">
        <is>
          <t>Plan A LP 工程(構成設計書v2 §7・素材と法務を先に走らせる)</t>
        </is>
      </c>
    </row>
    <row r="2">
      <c r="A2" s="2" t="inlineStr">
        <is>
          <t>出所: docs/Plan A LP_構成設計書v2_20261001.md §7。黄色=入力欄(状態: 未着手/進行中/完了)。週は公開判定までの相対週。</t>
        </is>
      </c>
    </row>
    <row r="3">
      <c r="A3" s="2" t="inlineStr">
        <is>
          <t>公開ゲート: update.yml の除外(go/plan-a, go/plan-a-line)を外すのは、根拠集め12項目と決裁6項目が揃ってから(§5 公開ゲート)。</t>
        </is>
      </c>
    </row>
    <row r="4"/>
    <row r="5">
      <c r="A5" s="3" t="inlineStr">
        <is>
          <t>週</t>
        </is>
      </c>
      <c r="B5" s="3" t="inlineStr">
        <is>
          <t>やること</t>
        </is>
      </c>
      <c r="C5" s="3" t="inlineStr">
        <is>
          <t>担当</t>
        </is>
      </c>
      <c r="D5" s="3" t="inlineStr">
        <is>
          <t>完了の目印</t>
        </is>
      </c>
      <c r="E5" s="3" t="inlineStr">
        <is>
          <t>状態</t>
        </is>
      </c>
    </row>
    <row r="6">
      <c r="A6" s="5" t="inlineStr">
        <is>
          <t>第1週</t>
        </is>
      </c>
      <c r="B6" s="5" t="inlineStr">
        <is>
          <t>本書の決裁(§8)/ 生産者の声の収集開始(説明会・LINE・嶺井さん人脈で10人に見出しA/B/Cを読ませる)/ 付録B-7の根拠集め開始(経歴・会員契約・授権書式)</t>
        </is>
      </c>
      <c r="C6" s="5" t="inlineStr">
        <is>
          <t>統括・提携部・守り部</t>
        </is>
      </c>
      <c r="D6" s="5" t="inlineStr">
        <is>
          <t>決裁済み項目一覧、見出しの反応メモ、根拠の有無一覧</t>
        </is>
      </c>
      <c r="E6" s="6" t="n"/>
    </row>
    <row r="7">
      <c r="A7" s="5" t="inlineStr">
        <is>
          <t>第2週</t>
        </is>
      </c>
      <c r="B7" s="5" t="inlineStr">
        <is>
          <t>HTMLをv2構成へ改修(ワイヤーフレーム通り)/ /go/plan-a-line/ 追加/ shipping_gate.py の出力先追加/ 比較表の相場数字に出所を付ける</t>
        </is>
      </c>
      <c r="C7" s="5" t="inlineStr">
        <is>
          <t>❶システム・検証部</t>
        </is>
      </c>
      <c r="D7" s="5" t="inlineStr">
        <is>
          <t>改修済みHTML、計測が動く、ゲートを通る</t>
        </is>
      </c>
      <c r="E7" s="6" t="n"/>
    </row>
    <row r="8">
      <c r="A8" s="5" t="inlineStr">
        <is>
          <t>第3週</t>
        </is>
      </c>
      <c r="B8" s="5" t="inlineStr">
        <is>
          <t>実在の生産者3社の写真・声(許諾書付き)/ 実商品写真の撮影/ FAQを実際の質問に差し替え</t>
        </is>
      </c>
      <c r="C8" s="5" t="inlineStr">
        <is>
          <t>提携部・SNS部・撮影</t>
        </is>
      </c>
      <c r="D8" s="5" t="inlineStr">
        <is>
          <t>許諾書3枚、写真、FAQ v1</t>
        </is>
      </c>
      <c r="E8" s="6" t="n"/>
    </row>
    <row r="9">
      <c r="A9" s="5" t="inlineStr">
        <is>
          <t>第4週</t>
        </is>
      </c>
      <c r="B9" s="5" t="inlineStr">
        <is>
          <t>守り部・検証部の原文照合(付録A・Bの全URL)/ みがきの会のレビュー/ Lighthouse実測(hojo-lighthouse-triage)/ 全端末QA</t>
        </is>
      </c>
      <c r="C9" s="5" t="inlineStr">
        <is>
          <t>守り部・検証部・みがきの会</t>
        </is>
      </c>
      <c r="D9" s="5" t="inlineStr">
        <is>
          <t>照合チェック表、Lighthouse記録</t>
        </is>
      </c>
      <c r="E9" s="6" t="n"/>
    </row>
    <row r="10">
      <c r="A10" s="5" t="inlineStr">
        <is>
          <t>第5週</t>
        </is>
      </c>
      <c r="B10" s="5" t="inlineStr">
        <is>
          <t>公開判定(小柳さん)→ update.yml の除外解除 → 公開 → 初週は毎日LINE相談の最初の質問を記録</t>
        </is>
      </c>
      <c r="C10" s="5" t="inlineStr">
        <is>
          <t>小柳さん・統括</t>
        </is>
      </c>
      <c r="D10" s="5" t="inlineStr">
        <is>
          <t>公開、相談ログ</t>
        </is>
      </c>
      <c r="E10" s="6" t="n"/>
    </row>
    <row r="11">
      <c r="A11" s="5" t="inlineStr">
        <is>
          <t>公開後1か月</t>
        </is>
      </c>
      <c r="B11" s="5" t="inlineStr">
        <is>
          <t>相談率・質問の中身で見出しと比較表を見直し(費用の質問が多ければ費用を上へ、騙されないかが多ければ取引保護を上へ)</t>
        </is>
      </c>
      <c r="C11" s="5" t="inlineStr">
        <is>
          <t>SNS部・LINE部</t>
        </is>
      </c>
      <c r="D11" s="5" t="inlineStr">
        <is>
          <t>改訂v2.1</t>
        </is>
      </c>
      <c r="E11" s="6" t="n"/>
    </row>
    <row r="12"/>
    <row r="13">
      <c r="D13" s="8" t="inlineStr">
        <is>
          <t>完了件数 / 工程数</t>
        </is>
      </c>
      <c r="E13" s="8">
        <f>COUNTIF(E6:E11,"完了")&amp;" / "&amp;COUNTA(A6:A11)</f>
        <v/>
      </c>
    </row>
  </sheetData>
  <dataValidations count="1">
    <dataValidation sqref="E6:E11" showDropDown="0" showInputMessage="0" showErrorMessage="0" allowBlank="1" type="list">
      <formula1>"未着手,進行中,完了"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2026-10-02T15:22:35Z</dcterms:created>
  <dcterms:modified xmlns:dcterms="http://purl.org/dc/terms/" xmlns:xsi="http://www.w3.org/2001/XMLSchema-instance" xsi:type="dcterms:W3CDTF">2026-10-02T15:22:35Z</dcterms:modified>
</cp:coreProperties>
</file>