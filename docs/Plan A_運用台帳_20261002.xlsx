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決裁事項" sheetId="1" state="visible" r:id="rId3"/>
    <sheet name="根拠集め" sheetId="2" state="visible" r:id="rId4"/>
    <sheet name="見出しテスト" sheetId="3" state="visible" r:id="rId5"/>
    <sheet name="週次KPI" sheetId="4" state="visible" r:id="rId6"/>
    <sheet name="工程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<sst xmlns="http://schemas.openxmlformats.org/spreadsheetml/2006/main" count="233" uniqueCount="196">
  <si>
    <r>
      <rPr>
        <b val="true"/>
        <sz val="13"/>
        <color rgb="FF00335C"/>
        <rFont val="Meiryo"/>
        <family val="0"/>
        <charset val="1"/>
      </rPr>
      <t xml:space="preserve">Plan A LP </t>
    </r>
    <r>
      <rPr>
        <b val="true"/>
        <sz val="13"/>
        <color rgb="FF00335C"/>
        <rFont val="WenQuanYi Zen Hei"/>
        <family val="2"/>
      </rPr>
      <t xml:space="preserve">決裁事項</t>
    </r>
    <r>
      <rPr>
        <b val="true"/>
        <sz val="13"/>
        <color rgb="FF00335C"/>
        <rFont val="Meiryo"/>
        <family val="0"/>
        <charset val="1"/>
      </rPr>
      <t xml:space="preserve">(</t>
    </r>
    <r>
      <rPr>
        <b val="true"/>
        <sz val="13"/>
        <color rgb="FF00335C"/>
        <rFont val="WenQuanYi Zen Hei"/>
        <family val="2"/>
      </rPr>
      <t xml:space="preserve">構成設計書</t>
    </r>
    <r>
      <rPr>
        <b val="true"/>
        <sz val="13"/>
        <color rgb="FF00335C"/>
        <rFont val="Meiryo"/>
        <family val="0"/>
        <charset val="1"/>
      </rPr>
      <t xml:space="preserve">v2 §8</t>
    </r>
    <r>
      <rPr>
        <b val="true"/>
        <sz val="13"/>
        <color rgb="FF00335C"/>
        <rFont val="WenQuanYi Zen Hei"/>
        <family val="2"/>
      </rPr>
      <t xml:space="preserve">・小柳さん決裁待ち</t>
    </r>
    <r>
      <rPr>
        <b val="true"/>
        <sz val="13"/>
        <color rgb="FF00335C"/>
        <rFont val="Meiryo"/>
        <family val="0"/>
        <charset val="1"/>
      </rPr>
      <t xml:space="preserve">6</t>
    </r>
    <r>
      <rPr>
        <b val="true"/>
        <sz val="13"/>
        <color rgb="FF00335C"/>
        <rFont val="WenQuanYi Zen Hei"/>
        <family val="2"/>
      </rPr>
      <t xml:space="preserve">項目</t>
    </r>
    <r>
      <rPr>
        <b val="true"/>
        <sz val="13"/>
        <color rgb="FF00335C"/>
        <rFont val="Meiryo"/>
        <family val="0"/>
        <charset val="1"/>
      </rPr>
      <t xml:space="preserve">)</t>
    </r>
  </si>
  <si>
    <t xml:space="preserve">出所: docs/Plan A LP_構成設計書v2_20261001.md §8(決裁順)。黄色=入力欄(決裁結果・決裁日)。他の列は設計書の転記。</t>
  </si>
  <si>
    <t xml:space="preserve">推奨欄は設計書(§4・§5・付録B)に書かれた推奨の転記であり、決裁の代わりではない。決裁するのは小柳さん(絶対ルール5)。</t>
  </si>
  <si>
    <t xml:space="preserve">No</t>
  </si>
  <si>
    <t xml:space="preserve">項目</t>
  </si>
  <si>
    <t xml:space="preserve">選択肢</t>
  </si>
  <si>
    <t xml:space="preserve">推奨</t>
  </si>
  <si>
    <t xml:space="preserve">決裁結果</t>
  </si>
  <si>
    <t xml:space="preserve">決裁日</t>
  </si>
  <si>
    <t xml:space="preserve">反映先(LPの箇所)</t>
  </si>
  <si>
    <r>
      <rPr>
        <sz val="10"/>
        <rFont val="Meiryo"/>
        <family val="0"/>
        <charset val="1"/>
      </rPr>
      <t xml:space="preserve">LINE</t>
    </r>
    <r>
      <rPr>
        <sz val="10"/>
        <rFont val="WenQuanYi Zen Hei"/>
        <family val="2"/>
      </rPr>
      <t xml:space="preserve">アカウント</t>
    </r>
  </si>
  <si>
    <r>
      <rPr>
        <sz val="10"/>
        <rFont val="Meiryo"/>
        <family val="0"/>
        <charset val="1"/>
      </rPr>
      <t xml:space="preserve">①Plan A</t>
    </r>
    <r>
      <rPr>
        <sz val="10"/>
        <rFont val="WenQuanYi Zen Hei"/>
        <family val="2"/>
      </rPr>
      <t xml:space="preserve">専用を新設 </t>
    </r>
    <r>
      <rPr>
        <sz val="10"/>
        <rFont val="Meiryo"/>
        <family val="0"/>
        <charset val="1"/>
      </rPr>
      <t xml:space="preserve">/ ②</t>
    </r>
    <r>
      <rPr>
        <sz val="10"/>
        <rFont val="WenQuanYi Zen Hei"/>
        <family val="2"/>
      </rPr>
      <t xml:space="preserve">ミカタ公式を共用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あいさつ分岐に「海外」キーワードを足す</t>
    </r>
    <r>
      <rPr>
        <sz val="10"/>
        <rFont val="Meiryo"/>
        <family val="0"/>
        <charset val="1"/>
      </rPr>
      <t xml:space="preserve">)</t>
    </r>
  </si>
  <si>
    <t xml:space="preserve">設計書に推奨なし(共用=相談転換フローを即流用できる。専用=GLOWブランドで数字を分けやすい)</t>
  </si>
  <si>
    <r>
      <rPr>
        <sz val="10"/>
        <rFont val="WenQuanYi Zen Hei"/>
        <family val="2"/>
      </rPr>
      <t xml:space="preserve">未決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提案</t>
    </r>
    <r>
      <rPr>
        <sz val="10"/>
        <rFont val="Meiryo"/>
        <family val="0"/>
        <charset val="1"/>
      </rPr>
      <t xml:space="preserve">: </t>
    </r>
    <r>
      <rPr>
        <sz val="10"/>
        <rFont val="WenQuanYi Zen Hei"/>
        <family val="2"/>
      </rPr>
      <t xml:space="preserve">ミカタ公式を共用し「海外」キーワードで分岐。転送先は暫定で共用済み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</si>
  <si>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§5 </t>
    </r>
    <r>
      <rPr>
        <sz val="10"/>
        <rFont val="WenQuanYi Zen Hei"/>
        <family val="2"/>
      </rPr>
      <t xml:space="preserve">中間リンク </t>
    </r>
    <r>
      <rPr>
        <sz val="10"/>
        <rFont val="Meiryo"/>
        <family val="0"/>
        <charset val="1"/>
      </rPr>
      <t xml:space="preserve">/go/plan-a-line/ </t>
    </r>
    <r>
      <rPr>
        <sz val="10"/>
        <rFont val="WenQuanYi Zen Hei"/>
        <family val="2"/>
      </rPr>
      <t xml:space="preserve">の転送先</t>
    </r>
    <r>
      <rPr>
        <sz val="10"/>
        <rFont val="Meiryo"/>
        <family val="0"/>
        <charset val="1"/>
      </rPr>
      <t xml:space="preserve">(scripts/generate_go_pages.py </t>
    </r>
    <r>
      <rPr>
        <sz val="10"/>
        <rFont val="WenQuanYi Zen Hei"/>
        <family val="2"/>
      </rPr>
      <t xml:space="preserve">の </t>
    </r>
    <r>
      <rPr>
        <sz val="10"/>
        <rFont val="Meiryo"/>
        <family val="0"/>
        <charset val="1"/>
      </rPr>
      <t xml:space="preserve">dest)/ </t>
    </r>
    <r>
      <rPr>
        <sz val="10"/>
        <rFont val="WenQuanYi Zen Hei"/>
        <family val="2"/>
      </rPr>
      <t xml:space="preserve">段</t>
    </r>
    <r>
      <rPr>
        <sz val="10"/>
        <rFont val="Meiryo"/>
        <family val="0"/>
        <charset val="1"/>
      </rPr>
      <t xml:space="preserve">0 </t>
    </r>
    <r>
      <rPr>
        <sz val="10"/>
        <rFont val="WenQuanYi Zen Hei"/>
        <family val="2"/>
      </rPr>
      <t xml:space="preserve">固定ボタン・段</t>
    </r>
    <r>
      <rPr>
        <sz val="10"/>
        <rFont val="Meiryo"/>
        <family val="0"/>
        <charset val="1"/>
      </rPr>
      <t xml:space="preserve">10 LINE</t>
    </r>
    <r>
      <rPr>
        <sz val="10"/>
        <rFont val="WenQuanYi Zen Hei"/>
        <family val="2"/>
      </rPr>
      <t xml:space="preserve">ボタン</t>
    </r>
  </si>
  <si>
    <t xml:space="preserve">費用の確定(税込表記・4%負担者・実費・返金条件)</t>
  </si>
  <si>
    <r>
      <rPr>
        <sz val="10"/>
        <rFont val="Meiryo"/>
        <family val="0"/>
        <charset val="1"/>
      </rPr>
      <t xml:space="preserve">①1</t>
    </r>
    <r>
      <rPr>
        <sz val="10"/>
        <rFont val="WenQuanYi Zen Hei"/>
        <family val="2"/>
      </rPr>
      <t xml:space="preserve">万円は税込か税別か </t>
    </r>
    <r>
      <rPr>
        <sz val="10"/>
        <rFont val="Meiryo"/>
        <family val="0"/>
        <charset val="1"/>
      </rPr>
      <t xml:space="preserve">/ ②Trade Assurance</t>
    </r>
    <r>
      <rPr>
        <sz val="10"/>
        <rFont val="WenQuanYi Zen Hei"/>
        <family val="2"/>
      </rPr>
      <t xml:space="preserve">手数料</t>
    </r>
    <r>
      <rPr>
        <sz val="10"/>
        <rFont val="Meiryo"/>
        <family val="0"/>
        <charset val="1"/>
      </rPr>
      <t xml:space="preserve">4%(</t>
    </r>
    <r>
      <rPr>
        <sz val="10"/>
        <rFont val="WenQuanYi Zen Hei"/>
        <family val="2"/>
      </rPr>
      <t xml:space="preserve">上限</t>
    </r>
    <r>
      <rPr>
        <sz val="10"/>
        <rFont val="Meiryo"/>
        <family val="0"/>
        <charset val="1"/>
      </rPr>
      <t xml:space="preserve">100</t>
    </r>
    <r>
      <rPr>
        <sz val="10"/>
        <rFont val="WenQuanYi Zen Hei"/>
        <family val="2"/>
      </rPr>
      <t xml:space="preserve">米ドル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の負担者</t>
    </r>
    <r>
      <rPr>
        <sz val="10"/>
        <rFont val="Meiryo"/>
        <family val="0"/>
        <charset val="1"/>
      </rPr>
      <t xml:space="preserve">: GLOW or </t>
    </r>
    <r>
      <rPr>
        <sz val="10"/>
        <rFont val="WenQuanYi Zen Hei"/>
        <family val="2"/>
      </rPr>
      <t xml:space="preserve">生産者 </t>
    </r>
    <r>
      <rPr>
        <sz val="10"/>
        <rFont val="Meiryo"/>
        <family val="0"/>
        <charset val="1"/>
      </rPr>
      <t xml:space="preserve">/ ③</t>
    </r>
    <r>
      <rPr>
        <sz val="10"/>
        <rFont val="WenQuanYi Zen Hei"/>
        <family val="2"/>
      </rPr>
      <t xml:space="preserve">送料・関税・証明書の実費の扱い </t>
    </r>
    <r>
      <rPr>
        <sz val="10"/>
        <rFont val="Meiryo"/>
        <family val="0"/>
        <charset val="1"/>
      </rPr>
      <t xml:space="preserve">/ ④</t>
    </r>
    <r>
      <rPr>
        <sz val="10"/>
        <rFont val="WenQuanYi Zen Hei"/>
        <family val="2"/>
      </rPr>
      <t xml:space="preserve">返金・解約条件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「売れなければ初期費用返金」等の保証を付けるか</t>
    </r>
    <r>
      <rPr>
        <sz val="10"/>
        <rFont val="Meiryo"/>
        <family val="0"/>
        <charset val="1"/>
      </rPr>
      <t xml:space="preserve">)</t>
    </r>
  </si>
  <si>
    <t xml:space="preserve">付録B-7: 「初期費用1万円(税込表記)+成約時3%。輸送・検疫等の実費は別途(目安を併記)」。4%はどちらの負担でも料金表に明記(付録B-2)</t>
  </si>
  <si>
    <r>
      <rPr>
        <sz val="10"/>
        <rFont val="WenQuanYi Zen Hei"/>
        <family val="2"/>
      </rPr>
      <t xml:space="preserve">推奨どおり</t>
    </r>
    <r>
      <rPr>
        <sz val="10"/>
        <rFont val="Meiryo"/>
        <family val="0"/>
        <charset val="1"/>
      </rPr>
      <t xml:space="preserve">: </t>
    </r>
    <r>
      <rPr>
        <sz val="10"/>
        <rFont val="WenQuanYi Zen Hei"/>
        <family val="2"/>
      </rPr>
      <t xml:space="preserve">税込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万円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回きり・更新料なし</t>
    </r>
    <r>
      <rPr>
        <sz val="10"/>
        <rFont val="Meiryo"/>
        <family val="0"/>
        <charset val="1"/>
      </rPr>
      <t xml:space="preserve">)/ </t>
    </r>
    <r>
      <rPr>
        <sz val="10"/>
        <rFont val="WenQuanYi Zen Hei"/>
        <family val="2"/>
      </rPr>
      <t xml:space="preserve">取引保護手数料</t>
    </r>
    <r>
      <rPr>
        <sz val="10"/>
        <rFont val="Meiryo"/>
        <family val="0"/>
        <charset val="1"/>
      </rPr>
      <t xml:space="preserve">4%</t>
    </r>
    <r>
      <rPr>
        <sz val="10"/>
        <rFont val="WenQuanYi Zen Hei"/>
        <family val="2"/>
      </rPr>
      <t xml:space="preserve">は海外向け価格に含めて見積りに明記 </t>
    </r>
    <r>
      <rPr>
        <sz val="10"/>
        <rFont val="Meiryo"/>
        <family val="0"/>
        <charset val="1"/>
      </rPr>
      <t xml:space="preserve">/ </t>
    </r>
    <r>
      <rPr>
        <sz val="10"/>
        <rFont val="WenQuanYi Zen Hei"/>
        <family val="2"/>
      </rPr>
      <t xml:space="preserve">実費は事前見積り </t>
    </r>
    <r>
      <rPr>
        <sz val="10"/>
        <rFont val="Meiryo"/>
        <family val="0"/>
        <charset val="1"/>
      </rPr>
      <t xml:space="preserve">/ </t>
    </r>
    <r>
      <rPr>
        <sz val="10"/>
        <rFont val="WenQuanYi Zen Hei"/>
        <family val="2"/>
      </rPr>
      <t xml:space="preserve">返金なし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代わりに</t>
    </r>
    <r>
      <rPr>
        <sz val="10"/>
        <rFont val="Meiryo"/>
        <family val="0"/>
        <charset val="1"/>
      </rPr>
      <t xml:space="preserve">6</t>
    </r>
    <r>
      <rPr>
        <sz val="10"/>
        <rFont val="WenQuanYi Zen Hei"/>
        <family val="2"/>
      </rPr>
      <t xml:space="preserve">か月やり直し保証</t>
    </r>
    <r>
      <rPr>
        <sz val="10"/>
        <rFont val="Meiryo"/>
        <family val="0"/>
        <charset val="1"/>
      </rPr>
      <t xml:space="preserve">=</t>
    </r>
    <r>
      <rPr>
        <sz val="10"/>
        <rFont val="WenQuanYi Zen Hei"/>
        <family val="2"/>
      </rPr>
      <t xml:space="preserve">オファー</t>
    </r>
    <r>
      <rPr>
        <sz val="10"/>
        <rFont val="Meiryo"/>
        <family val="0"/>
        <charset val="1"/>
      </rPr>
      <t xml:space="preserve">C)</t>
    </r>
  </si>
  <si>
    <t xml:space="preserve">2026-10-02</t>
  </si>
  <si>
    <t xml:space="preserve">段1 ファーストビュー 費用の1行 / 段5 仕組み 費用の内訳 / 段7 第1期の募集条件 / 段9 FAQ(費用はいつ払うか・売れなかったら・やめたいとき)/ 段11 脚注・特商法表記ページ</t>
  </si>
  <si>
    <t xml:space="preserve">第1期の募集条件</t>
  </si>
  <si>
    <t xml:space="preserve">募集数 / 開始月 / 対象品目(常温の加工品・工芸品から始めるか)</t>
  </si>
  <si>
    <t xml:space="preserve">付録B-5: 黒糖・加工食品・工芸品など常温・加工品から始める。実績が出るまで「第1期募集」と正直に書く(§0)</t>
  </si>
  <si>
    <r>
      <rPr>
        <sz val="10"/>
        <rFont val="WenQuanYi Zen Hei"/>
        <family val="2"/>
      </rPr>
      <t xml:space="preserve">一部決裁</t>
    </r>
    <r>
      <rPr>
        <sz val="10"/>
        <rFont val="Meiryo"/>
        <family val="0"/>
        <charset val="1"/>
      </rPr>
      <t xml:space="preserve">: </t>
    </r>
    <r>
      <rPr>
        <sz val="10"/>
        <rFont val="WenQuanYi Zen Hei"/>
        <family val="2"/>
      </rPr>
      <t xml:space="preserve">対象品目は常温の加工品・工芸品から。受付基準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常温・写真を用意できる・県内製造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を公開。募集数の実数と開始月は未決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提案</t>
    </r>
    <r>
      <rPr>
        <sz val="10"/>
        <rFont val="Meiryo"/>
        <family val="0"/>
        <charset val="1"/>
      </rPr>
      <t xml:space="preserve">: 5</t>
    </r>
    <r>
      <rPr>
        <sz val="10"/>
        <rFont val="WenQuanYi Zen Hei"/>
        <family val="2"/>
      </rPr>
      <t xml:space="preserve">社まで・</t>
    </r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11</t>
    </r>
    <r>
      <rPr>
        <sz val="10"/>
        <rFont val="WenQuanYi Zen Hei"/>
        <family val="2"/>
      </rPr>
      <t xml:space="preserve">月</t>
    </r>
    <r>
      <rPr>
        <sz val="10"/>
        <rFont val="Meiryo"/>
        <family val="0"/>
        <charset val="1"/>
      </rPr>
      <t xml:space="preserve">)</t>
    </r>
  </si>
  <si>
    <t xml:space="preserve">段7 第1期の募集条件 / 段6 やること・やらないこと(Plan Aでは扱えないもの)</t>
  </si>
  <si>
    <t xml:space="preserve">運営者表記</t>
  </si>
  <si>
    <t xml:space="preserve">代表者名・所在地・経歴(日本政策金融公庫の在籍年数)を本人確認のうえ①載せる / ②載せない</t>
  </si>
  <si>
    <t xml:space="preserve">付録B-7: 経歴の数字は本人確認済みのものだけ。「30年」「200社」「100億円」は根拠が揃うまで非表示(現状は非表示)</t>
  </si>
  <si>
    <r>
      <rPr>
        <sz val="10"/>
        <rFont val="WenQuanYi Zen Hei"/>
        <family val="2"/>
      </rPr>
      <t xml:space="preserve">未決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代表者名・所在地は事実確認待ち。経歴の数字は載せない方針を維持</t>
    </r>
    <r>
      <rPr>
        <sz val="10"/>
        <rFont val="Meiryo"/>
        <family val="0"/>
        <charset val="1"/>
      </rPr>
      <t xml:space="preserve">)</t>
    </r>
  </si>
  <si>
    <t xml:space="preserve">段2 信頼の帯 / 段8 運営者 / 段11 脚注</t>
  </si>
  <si>
    <t xml:space="preserve">見出し選択</t>
  </si>
  <si>
    <r>
      <rPr>
        <sz val="10"/>
        <rFont val="Meiryo"/>
        <family val="0"/>
        <charset val="1"/>
      </rPr>
      <t xml:space="preserve">A: </t>
    </r>
    <r>
      <rPr>
        <sz val="10"/>
        <rFont val="WenQuanYi Zen Hei"/>
        <family val="2"/>
      </rPr>
      <t xml:space="preserve">あなたの商品を探している海外の買い手に、日本語のまま届ける販路。 </t>
    </r>
    <r>
      <rPr>
        <sz val="10"/>
        <rFont val="Meiryo"/>
        <family val="0"/>
        <charset val="1"/>
      </rPr>
      <t xml:space="preserve">/ B: </t>
    </r>
    <r>
      <rPr>
        <sz val="10"/>
        <rFont val="WenQuanYi Zen Hei"/>
        <family val="2"/>
      </rPr>
      <t xml:space="preserve">畑と工房はそのまま。海外の売り先だけ、増やす。 </t>
    </r>
    <r>
      <rPr>
        <sz val="10"/>
        <rFont val="Meiryo"/>
        <family val="0"/>
        <charset val="1"/>
      </rPr>
      <t xml:space="preserve">/ C: </t>
    </r>
    <r>
      <rPr>
        <sz val="10"/>
        <rFont val="WenQuanYi Zen Hei"/>
        <family val="2"/>
      </rPr>
      <t xml:space="preserve">沖縄にいながら、</t>
    </r>
    <r>
      <rPr>
        <sz val="10"/>
        <rFont val="Meiryo"/>
        <family val="0"/>
        <charset val="1"/>
      </rPr>
      <t xml:space="preserve">200</t>
    </r>
    <r>
      <rPr>
        <sz val="10"/>
        <rFont val="WenQuanYi Zen Hei"/>
        <family val="2"/>
      </rPr>
      <t xml:space="preserve">以上の国と地域のバイヤーへ。</t>
    </r>
    <r>
      <rPr>
        <sz val="10"/>
        <rFont val="Meiryo"/>
        <family val="0"/>
        <charset val="1"/>
      </rPr>
      <t xml:space="preserve">(10</t>
    </r>
    <r>
      <rPr>
        <sz val="10"/>
        <rFont val="WenQuanYi Zen Hei"/>
        <family val="2"/>
      </rPr>
      <t xml:space="preserve">人の反応を見てからでも可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</si>
  <si>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§4: A</t>
    </r>
    <r>
      <rPr>
        <sz val="10"/>
        <rFont val="WenQuanYi Zen Hei"/>
        <family val="2"/>
      </rPr>
      <t xml:space="preserve">案を推す。ただし見出しテスト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シート「見出しテスト」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で「自分向き」最多を採用、「胡散臭い」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人以上は不採用</t>
    </r>
  </si>
  <si>
    <r>
      <rPr>
        <sz val="10"/>
        <rFont val="WenQuanYi Zen Hei"/>
        <family val="2"/>
      </rPr>
      <t xml:space="preserve">推奨どおり</t>
    </r>
    <r>
      <rPr>
        <sz val="10"/>
        <rFont val="Meiryo"/>
        <family val="0"/>
        <charset val="1"/>
      </rPr>
      <t xml:space="preserve">: A</t>
    </r>
    <r>
      <rPr>
        <sz val="10"/>
        <rFont val="WenQuanYi Zen Hei"/>
        <family val="2"/>
      </rPr>
      <t xml:space="preserve">案は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案は</t>
    </r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。生産者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人テスト後に見直し可</t>
    </r>
  </si>
  <si>
    <t xml:space="preserve">段1 ファーストビュー見出し(A案 site/go/plan-a/index.html)。B案(sns/index.html)の見出しDは据え置き判定に従う</t>
  </si>
  <si>
    <t xml:space="preserve">撮影予算</t>
  </si>
  <si>
    <t xml:space="preserve">実写真(生産者3社・商品)の撮影費を①計上する / ②計上しない(写真なしで第1期募集)</t>
  </si>
  <si>
    <t xml:space="preserve">設計書に金額の推奨なし(§6: 「イメージ」でなく実物か・許諾は取れているかが条件)</t>
  </si>
  <si>
    <r>
      <rPr>
        <sz val="10"/>
        <rFont val="WenQuanYi Zen Hei"/>
        <family val="2"/>
      </rPr>
      <t xml:space="preserve">未決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金額の提案なし</t>
    </r>
    <r>
      <rPr>
        <sz val="10"/>
        <rFont val="Meiryo"/>
        <family val="0"/>
        <charset val="1"/>
      </rPr>
      <t xml:space="preserve">)</t>
    </r>
  </si>
  <si>
    <t xml:space="preserve">段3 こんな方へ / 段7 第1期 / 根拠集め#12(作り手の写真と許諾書)</t>
  </si>
  <si>
    <t xml:space="preserve">決裁済み件数 / 6</t>
  </si>
  <si>
    <r>
      <rPr>
        <b val="true"/>
        <sz val="13"/>
        <color rgb="FF00335C"/>
        <rFont val="Meiryo"/>
        <family val="0"/>
        <charset val="1"/>
      </rPr>
      <t xml:space="preserve">Plan A LP </t>
    </r>
    <r>
      <rPr>
        <b val="true"/>
        <sz val="13"/>
        <color rgb="FF00335C"/>
        <rFont val="WenQuanYi Zen Hei"/>
        <family val="2"/>
      </rPr>
      <t xml:space="preserve">根拠集め</t>
    </r>
    <r>
      <rPr>
        <b val="true"/>
        <sz val="13"/>
        <color rgb="FF00335C"/>
        <rFont val="Meiryo"/>
        <family val="0"/>
        <charset val="1"/>
      </rPr>
      <t xml:space="preserve">(</t>
    </r>
    <r>
      <rPr>
        <b val="true"/>
        <sz val="13"/>
        <color rgb="FF00335C"/>
        <rFont val="WenQuanYi Zen Hei"/>
        <family val="2"/>
      </rPr>
      <t xml:space="preserve">公開前チェックリスト</t>
    </r>
    <r>
      <rPr>
        <b val="true"/>
        <sz val="13"/>
        <color rgb="FF00335C"/>
        <rFont val="Meiryo"/>
        <family val="0"/>
        <charset val="1"/>
      </rPr>
      <t xml:space="preserve">v2 §2</t>
    </r>
    <r>
      <rPr>
        <b val="true"/>
        <sz val="13"/>
        <color rgb="FF00335C"/>
        <rFont val="WenQuanYi Zen Hei"/>
        <family val="2"/>
      </rPr>
      <t xml:space="preserve">・</t>
    </r>
    <r>
      <rPr>
        <b val="true"/>
        <sz val="13"/>
        <color rgb="FF00335C"/>
        <rFont val="Meiryo"/>
        <family val="0"/>
        <charset val="1"/>
      </rPr>
      <t xml:space="preserve">12</t>
    </r>
    <r>
      <rPr>
        <b val="true"/>
        <sz val="13"/>
        <color rgb="FF00335C"/>
        <rFont val="WenQuanYi Zen Hei"/>
        <family val="2"/>
      </rPr>
      <t xml:space="preserve">項目</t>
    </r>
    <r>
      <rPr>
        <b val="true"/>
        <sz val="13"/>
        <color rgb="FF00335C"/>
        <rFont val="Meiryo"/>
        <family val="0"/>
        <charset val="1"/>
      </rPr>
      <t xml:space="preserve">)</t>
    </r>
  </si>
  <si>
    <t xml:space="preserve">出所: docs/Plan A LP_公開前チェックリストv2_20261002.md §2。揃うまで該当箇所は【要決裁】【要確認】のまま(絶対ルール1)。</t>
  </si>
  <si>
    <t xml:space="preserve">黄色=入力欄(出所URLの追記・状態・取得日・メモ)。状態はプルダウン(未着手/依頼中/取得済/反映済)。初期値「未着手」はチェックリストの⬜を転記。</t>
  </si>
  <si>
    <t xml:space="preserve">取得済+反映済の件数 / 12</t>
  </si>
  <si>
    <t xml:space="preserve">箇所</t>
  </si>
  <si>
    <t xml:space="preserve">必要なもの</t>
  </si>
  <si>
    <t xml:space="preserve">出所URL</t>
  </si>
  <si>
    <t xml:space="preserve">担当</t>
  </si>
  <si>
    <t xml:space="preserve">状態</t>
  </si>
  <si>
    <t xml:space="preserve">取得日</t>
  </si>
  <si>
    <t xml:space="preserve">メモ</t>
  </si>
  <si>
    <t xml:space="preserve">「200以上の国と地域」「4,000万超の登録バイヤー」の時点</t>
  </si>
  <si>
    <t xml:space="preserve">アリババ株式会社公式を開き、記載を確認した年月を脚注に入れる</t>
  </si>
  <si>
    <t xml:space="preserve">https://www.b2b.alibaba.co.jp/service/</t>
  </si>
  <si>
    <t xml:space="preserve">検証部</t>
  </si>
  <si>
    <t xml:space="preserve">未着手</t>
  </si>
  <si>
    <t xml:space="preserve">取引保護(Trade Assurance)の説明と手数料4%・上限100米ドル</t>
  </si>
  <si>
    <r>
      <rPr>
        <sz val="10"/>
        <rFont val="Meiryo"/>
        <family val="0"/>
        <charset val="1"/>
      </rPr>
      <t xml:space="preserve">ta-01 </t>
    </r>
    <r>
      <rPr>
        <sz val="10"/>
        <rFont val="WenQuanYi Zen Hei"/>
        <family val="2"/>
      </rPr>
      <t xml:space="preserve">と </t>
    </r>
    <r>
      <rPr>
        <sz val="10"/>
        <rFont val="Meiryo"/>
        <family val="0"/>
        <charset val="1"/>
      </rPr>
      <t xml:space="preserve">ta-09 </t>
    </r>
    <r>
      <rPr>
        <sz val="10"/>
        <rFont val="WenQuanYi Zen Hei"/>
        <family val="2"/>
      </rPr>
      <t xml:space="preserve">を開いて原文照合</t>
    </r>
  </si>
  <si>
    <t xml:space="preserve">https://b2b-manual.alibaba.co.jp/ta-01
https://b2b-manual.alibaba.co.jp/ta-09</t>
  </si>
  <si>
    <t xml:space="preserve">取引保護手数料の負担者(GLOW/生産者)</t>
  </si>
  <si>
    <t xml:space="preserve">小柳さん決裁(シート「決裁事項」No.2)</t>
  </si>
  <si>
    <t xml:space="preserve">小柳さん</t>
  </si>
  <si>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万円の税込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税別表記・返金条件・募集数・開始月</t>
    </r>
  </si>
  <si>
    <t xml:space="preserve">小柳さん決裁(シート「決裁事項」No.2・No.3)</t>
  </si>
  <si>
    <t xml:space="preserve">「これまでの海外販売」の相場金額(比較表・vs表)</t>
  </si>
  <si>
    <r>
      <rPr>
        <sz val="10"/>
        <rFont val="Meiryo"/>
        <family val="0"/>
        <charset val="1"/>
      </rPr>
      <t xml:space="preserve">JETRO</t>
    </r>
    <r>
      <rPr>
        <sz val="10"/>
        <rFont val="WenQuanYi Zen Hei"/>
        <family val="2"/>
      </rPr>
      <t xml:space="preserve">や主催者の公開資料から出展料・渡航費の出所を取る。取れなければ金額を消して文言だけにする</t>
    </r>
  </si>
  <si>
    <t xml:space="preserve">代表者名・所在地</t>
  </si>
  <si>
    <t xml:space="preserve">登記情報・会社資料</t>
  </si>
  <si>
    <t xml:space="preserve">守り部</t>
  </si>
  <si>
    <t xml:space="preserve">経歴の数字(公庫在籍年数など)を載せるか</t>
  </si>
  <si>
    <t xml:space="preserve">本人確認。載せないなら現状のまま(今は非表示)</t>
  </si>
  <si>
    <r>
      <rPr>
        <sz val="10"/>
        <rFont val="Meiryo"/>
        <family val="0"/>
        <charset val="1"/>
      </rPr>
      <t xml:space="preserve">Alibaba.com</t>
    </r>
    <r>
      <rPr>
        <sz val="10"/>
        <rFont val="WenQuanYi Zen Hei"/>
        <family val="2"/>
      </rPr>
      <t xml:space="preserve">会員契約の有無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「出展企業」と書けるか</t>
    </r>
    <r>
      <rPr>
        <sz val="10"/>
        <rFont val="Meiryo"/>
        <family val="0"/>
        <charset val="1"/>
      </rPr>
      <t xml:space="preserve">)</t>
    </r>
  </si>
  <si>
    <t xml:space="preserve">契約書。無ければ「出展企業」とは書かない(今は書いていない)</t>
  </si>
  <si>
    <t xml:space="preserve">生産者からの販売許諾書の書式</t>
  </si>
  <si>
    <t xml:space="preserve">守り部が作成(ブランド・商品名・許諾内容・会員情報と一致する当事者名)</t>
  </si>
  <si>
    <r>
      <rPr>
        <sz val="10"/>
        <rFont val="Meiryo"/>
        <family val="0"/>
        <charset val="1"/>
      </rPr>
      <t xml:space="preserve">https://rule.alibaba.com/rule/detail/11000252.htm(</t>
    </r>
    <r>
      <rPr>
        <sz val="10"/>
        <rFont val="WenQuanYi Zen Hei"/>
        <family val="2"/>
      </rPr>
      <t xml:space="preserve">授権の要件・付録</t>
    </r>
    <r>
      <rPr>
        <sz val="10"/>
        <rFont val="Meiryo"/>
        <family val="0"/>
        <charset val="1"/>
      </rPr>
      <t xml:space="preserve">B-3)</t>
    </r>
  </si>
  <si>
    <t xml:space="preserve">特定商取引法に基づく表記ページ・個人情報の取り扱いページ</t>
  </si>
  <si>
    <t xml:space="preserve">作成して脚注のリンク先にする</t>
  </si>
  <si>
    <r>
      <rPr>
        <sz val="10"/>
        <rFont val="Meiryo"/>
        <family val="0"/>
        <charset val="1"/>
      </rPr>
      <t xml:space="preserve">https://www.no-trouble.caa.go.jp/what/mailorder/rule.html(</t>
    </r>
    <r>
      <rPr>
        <sz val="10"/>
        <rFont val="WenQuanYi Zen Hei"/>
        <family val="2"/>
      </rPr>
      <t xml:space="preserve">表示事項・付録</t>
    </r>
    <r>
      <rPr>
        <sz val="10"/>
        <rFont val="Meiryo"/>
        <family val="0"/>
        <charset val="1"/>
      </rPr>
      <t xml:space="preserve">B-6)</t>
    </r>
  </si>
  <si>
    <r>
      <rPr>
        <sz val="10"/>
        <rFont val="Meiryo"/>
        <family val="0"/>
        <charset val="1"/>
      </rPr>
      <t xml:space="preserve">LINE</t>
    </r>
    <r>
      <rPr>
        <sz val="10"/>
        <rFont val="WenQuanYi Zen Hei"/>
        <family val="2"/>
      </rPr>
      <t xml:space="preserve">の転送先</t>
    </r>
    <r>
      <rPr>
        <sz val="10"/>
        <rFont val="Meiryo"/>
        <family val="0"/>
        <charset val="1"/>
      </rPr>
      <t xml:space="preserve">(Plan A</t>
    </r>
    <r>
      <rPr>
        <sz val="10"/>
        <rFont val="WenQuanYi Zen Hei"/>
        <family val="2"/>
      </rPr>
      <t xml:space="preserve">専用 </t>
    </r>
    <r>
      <rPr>
        <sz val="10"/>
        <rFont val="Meiryo"/>
        <family val="0"/>
        <charset val="1"/>
      </rPr>
      <t xml:space="preserve">or </t>
    </r>
    <r>
      <rPr>
        <sz val="10"/>
        <rFont val="WenQuanYi Zen Hei"/>
        <family val="2"/>
      </rPr>
      <t xml:space="preserve">ミカタ公式共用</t>
    </r>
    <r>
      <rPr>
        <sz val="10"/>
        <rFont val="Meiryo"/>
        <family val="0"/>
        <charset val="1"/>
      </rPr>
      <t xml:space="preserve">)</t>
    </r>
  </si>
  <si>
    <t xml:space="preserve">決裁後 scripts/generate_go_pages.py の plan-a-line の dest を確定して再実行</t>
  </si>
  <si>
    <t xml:space="preserve">小柳さん→❶</t>
  </si>
  <si>
    <t xml:space="preserve">実在の作り手の写真(手・商品)と許諾書</t>
  </si>
  <si>
    <t xml:space="preserve">撮影。顔を載せるなら本人の許諾書</t>
  </si>
  <si>
    <t xml:space="preserve">提携部・SNS部</t>
  </si>
  <si>
    <t xml:space="preserve">状態別件数</t>
  </si>
  <si>
    <t xml:space="preserve">依頼中</t>
  </si>
  <si>
    <t xml:space="preserve">取得済</t>
  </si>
  <si>
    <t xml:space="preserve">反映済</t>
  </si>
  <si>
    <r>
      <rPr>
        <b val="true"/>
        <sz val="13"/>
        <color rgb="FF00335C"/>
        <rFont val="Meiryo"/>
        <family val="0"/>
        <charset val="1"/>
      </rPr>
      <t xml:space="preserve">Plan A LP </t>
    </r>
    <r>
      <rPr>
        <b val="true"/>
        <sz val="13"/>
        <color rgb="FF00335C"/>
        <rFont val="WenQuanYi Zen Hei"/>
        <family val="2"/>
      </rPr>
      <t xml:space="preserve">見出しテスト</t>
    </r>
    <r>
      <rPr>
        <b val="true"/>
        <sz val="13"/>
        <color rgb="FF00335C"/>
        <rFont val="Meiryo"/>
        <family val="0"/>
        <charset val="1"/>
      </rPr>
      <t xml:space="preserve">(</t>
    </r>
    <r>
      <rPr>
        <b val="true"/>
        <sz val="13"/>
        <color rgb="FF00335C"/>
        <rFont val="WenQuanYi Zen Hei"/>
        <family val="2"/>
      </rPr>
      <t xml:space="preserve">公開前チェックリスト</t>
    </r>
    <r>
      <rPr>
        <b val="true"/>
        <sz val="13"/>
        <color rgb="FF00335C"/>
        <rFont val="Meiryo"/>
        <family val="0"/>
        <charset val="1"/>
      </rPr>
      <t xml:space="preserve">v2 §1</t>
    </r>
    <r>
      <rPr>
        <b val="true"/>
        <sz val="13"/>
        <color rgb="FF00335C"/>
        <rFont val="WenQuanYi Zen Hei"/>
        <family val="2"/>
      </rPr>
      <t xml:space="preserve">・生産者</t>
    </r>
    <r>
      <rPr>
        <b val="true"/>
        <sz val="13"/>
        <color rgb="FF00335C"/>
        <rFont val="Meiryo"/>
        <family val="0"/>
        <charset val="1"/>
      </rPr>
      <t xml:space="preserve">10</t>
    </r>
    <r>
      <rPr>
        <b val="true"/>
        <sz val="13"/>
        <color rgb="FF00335C"/>
        <rFont val="WenQuanYi Zen Hei"/>
        <family val="2"/>
      </rPr>
      <t xml:space="preserve">人に読ませて記録</t>
    </r>
    <r>
      <rPr>
        <b val="true"/>
        <sz val="13"/>
        <color rgb="FF00335C"/>
        <rFont val="Meiryo"/>
        <family val="0"/>
        <charset val="1"/>
      </rPr>
      <t xml:space="preserve">)</t>
    </r>
  </si>
  <si>
    <t xml:space="preserve">やり方: 見出しA〜Dを紙1枚に印刷し、1人ずつ順番を変えて見せる。「どれが自分向きか」「どれが一番気になるか」「胡散臭いと感じたものは(複数可)」を聞き、理由を一言メモ。所要3分。</t>
  </si>
  <si>
    <t xml:space="preserve">黄色=入力欄。自分向き・気になるはA/B/C/Dから1つ。胡散臭いは該当する列に○(複数可)。一番の心配は 費用/英語/騙されないか/手間/その他 から1つ。</t>
  </si>
  <si>
    <t xml:space="preserve">判定: 「自分向き」最多をA案の見出しに。「胡散臭い」3人以上は不採用。Dが「気になる」最多かつ「胡散臭い」2人以下ならB案の見出し据え置き。</t>
  </si>
  <si>
    <t xml:space="preserve">注意: 「例」行は記入見本(架空)。実測を始めるときに例行をクリアすること(集計はクリアするまで例行の票を含む)。</t>
  </si>
  <si>
    <t xml:space="preserve">見出し一覧</t>
  </si>
  <si>
    <t xml:space="preserve">A</t>
  </si>
  <si>
    <t xml:space="preserve">あなたの商品を探している海外の買い手に、日本語のまま届ける販路。</t>
  </si>
  <si>
    <t xml:space="preserve">B</t>
  </si>
  <si>
    <t xml:space="preserve">畑と工房はそのまま。海外の売り先だけ、増やす。</t>
  </si>
  <si>
    <t xml:space="preserve">C</t>
  </si>
  <si>
    <t xml:space="preserve">沖縄にいながら、200以上の国と地域のバイヤーへ。</t>
  </si>
  <si>
    <r>
      <rPr>
        <b val="true"/>
        <sz val="10"/>
        <rFont val="Meiryo"/>
        <family val="0"/>
        <charset val="1"/>
      </rPr>
      <t xml:space="preserve">D(B</t>
    </r>
    <r>
      <rPr>
        <b val="true"/>
        <sz val="10"/>
        <rFont val="WenQuanYi Zen Hei"/>
        <family val="2"/>
      </rPr>
      <t xml:space="preserve">案</t>
    </r>
    <r>
      <rPr>
        <b val="true"/>
        <sz val="10"/>
        <rFont val="Meiryo"/>
        <family val="0"/>
        <charset val="1"/>
      </rPr>
      <t xml:space="preserve">)</t>
    </r>
  </si>
  <si>
    <t xml:space="preserve">「英語ができないから」で、世界をあきらめるのは、今日で終わり。</t>
  </si>
  <si>
    <t xml:space="preserve">業種</t>
  </si>
  <si>
    <t xml:space="preserve">年代</t>
  </si>
  <si>
    <t xml:space="preserve">自分向き(A/B/C/D)</t>
  </si>
  <si>
    <t xml:space="preserve">気になる(A/B/C/D)</t>
  </si>
  <si>
    <t xml:space="preserve">胡散臭い:A</t>
  </si>
  <si>
    <t xml:space="preserve">胡散臭い:B</t>
  </si>
  <si>
    <t xml:space="preserve">胡散臭い:C</t>
  </si>
  <si>
    <t xml:space="preserve">胡散臭い:D</t>
  </si>
  <si>
    <t xml:space="preserve">一番の心配</t>
  </si>
  <si>
    <t xml:space="preserve">理由メモ</t>
  </si>
  <si>
    <t xml:space="preserve">例</t>
  </si>
  <si>
    <t xml:space="preserve">黒糖加工(例)</t>
  </si>
  <si>
    <r>
      <rPr>
        <sz val="10"/>
        <rFont val="Meiryo"/>
        <family val="0"/>
        <charset val="1"/>
      </rPr>
      <t xml:space="preserve">60</t>
    </r>
    <r>
      <rPr>
        <sz val="10"/>
        <rFont val="WenQuanYi Zen Hei"/>
        <family val="2"/>
      </rPr>
      <t xml:space="preserve">代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例</t>
    </r>
    <r>
      <rPr>
        <sz val="10"/>
        <rFont val="Meiryo"/>
        <family val="0"/>
        <charset val="1"/>
      </rPr>
      <t xml:space="preserve">)</t>
    </r>
  </si>
  <si>
    <t xml:space="preserve">D</t>
  </si>
  <si>
    <t xml:space="preserve">○</t>
  </si>
  <si>
    <t xml:space="preserve">費用</t>
  </si>
  <si>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記入見本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数字が多い見出しは売り込みに見える、など一言</t>
    </r>
  </si>
  <si>
    <t xml:space="preserve">集計(自動計算。入力不要)</t>
  </si>
  <si>
    <t xml:space="preserve">記号</t>
  </si>
  <si>
    <t xml:space="preserve">見出し</t>
  </si>
  <si>
    <t xml:space="preserve">自分向き(票)</t>
  </si>
  <si>
    <t xml:space="preserve">気になる(票)</t>
  </si>
  <si>
    <t xml:space="preserve">胡散臭い(票)</t>
  </si>
  <si>
    <t xml:space="preserve">判定: 自分向き</t>
  </si>
  <si>
    <t xml:space="preserve">判定: 胡散臭い</t>
  </si>
  <si>
    <t xml:space="preserve">判定: B案見出し(Dのみ)</t>
  </si>
  <si>
    <t xml:space="preserve">—</t>
  </si>
  <si>
    <r>
      <rPr>
        <sz val="10"/>
        <rFont val="Meiryo"/>
        <family val="0"/>
        <charset val="1"/>
      </rPr>
      <t xml:space="preserve">D(B</t>
    </r>
    <r>
      <rPr>
        <sz val="10"/>
        <rFont val="WenQuanYi Zen Hei"/>
        <family val="2"/>
      </rPr>
      <t xml:space="preserve">案</t>
    </r>
    <r>
      <rPr>
        <sz val="10"/>
        <rFont val="Meiryo"/>
        <family val="0"/>
        <charset val="1"/>
      </rPr>
      <t xml:space="preserve">)</t>
    </r>
  </si>
  <si>
    <t xml:space="preserve">回答者数(自分向きの入力数)</t>
  </si>
  <si>
    <t xml:space="preserve">※「自分向き最多」が同数で複数出たら、小柳さん決裁(決裁事項No.5)</t>
  </si>
  <si>
    <t xml:space="preserve">「海外に売ると聞いて、まず何が心配?」の内訳(比較表と3つのゼロの順番を入れ替える判断材料)</t>
  </si>
  <si>
    <t xml:space="preserve">心配</t>
  </si>
  <si>
    <t xml:space="preserve">人数</t>
  </si>
  <si>
    <t xml:space="preserve">割合</t>
  </si>
  <si>
    <t xml:space="preserve">英語</t>
  </si>
  <si>
    <t xml:space="preserve">騙されないか</t>
  </si>
  <si>
    <t xml:space="preserve">手間</t>
  </si>
  <si>
    <t xml:space="preserve">その他</t>
  </si>
  <si>
    <t xml:space="preserve">合計</t>
  </si>
  <si>
    <t xml:space="preserve">判定</t>
  </si>
  <si>
    <r>
      <rPr>
        <b val="true"/>
        <sz val="13"/>
        <color rgb="FF00335C"/>
        <rFont val="Meiryo"/>
        <family val="0"/>
        <charset val="1"/>
      </rPr>
      <t xml:space="preserve">Plan A LP </t>
    </r>
    <r>
      <rPr>
        <b val="true"/>
        <sz val="13"/>
        <color rgb="FF00335C"/>
        <rFont val="WenQuanYi Zen Hei"/>
        <family val="2"/>
      </rPr>
      <t xml:space="preserve">週次</t>
    </r>
    <r>
      <rPr>
        <b val="true"/>
        <sz val="13"/>
        <color rgb="FF00335C"/>
        <rFont val="Meiryo"/>
        <family val="0"/>
        <charset val="1"/>
      </rPr>
      <t xml:space="preserve">KPI(</t>
    </r>
    <r>
      <rPr>
        <b val="true"/>
        <sz val="13"/>
        <color rgb="FF00335C"/>
        <rFont val="WenQuanYi Zen Hei"/>
        <family val="2"/>
      </rPr>
      <t xml:space="preserve">構成設計書</t>
    </r>
    <r>
      <rPr>
        <b val="true"/>
        <sz val="13"/>
        <color rgb="FF00335C"/>
        <rFont val="Meiryo"/>
        <family val="0"/>
        <charset val="1"/>
      </rPr>
      <t xml:space="preserve">v2 §5 </t>
    </r>
    <r>
      <rPr>
        <b val="true"/>
        <sz val="13"/>
        <color rgb="FF00335C"/>
        <rFont val="WenQuanYi Zen Hei"/>
        <family val="2"/>
      </rPr>
      <t xml:space="preserve">計測・チェックリスト</t>
    </r>
    <r>
      <rPr>
        <b val="true"/>
        <sz val="13"/>
        <color rgb="FF00335C"/>
        <rFont val="Meiryo"/>
        <family val="0"/>
        <charset val="1"/>
      </rPr>
      <t xml:space="preserve">v2 §4)</t>
    </r>
  </si>
  <si>
    <t xml:space="preserve">【実数のみ・推測値禁止】黄色の入力欄には GA4 等の計測値と LINE・説明会・契約の実件数だけを書く。見込み・按分・推定は書かない(絶対ルール1)。</t>
  </si>
  <si>
    <t xml:space="preserve">イベント対応: 表示=plan_a_view(variant=a/b) / CTAクリック=plan_a_cta_click / 転送=plan_a_line_redirect(channel=plan-a-line) / LINE相談=LINE内「海外」送信 / 説明会参加・第1期契約=実件数。</t>
  </si>
  <si>
    <t xml:space="preserve">相談率=LINE相談÷(A案表示+B案表示)。初期目安3%。A/B差=転送率(転送÷表示)の高い方÷低い方。判定可の条件=差1.5倍以上かつ各案50訪問以上(累計行で見る)。</t>
  </si>
  <si>
    <t xml:space="preserve">ミカタのLINE登録1,000社(KGI)とは別軸。統合週次レポには「Plan A」欄として別立てで転記する(混ぜない)。</t>
  </si>
  <si>
    <t xml:space="preserve">週(開始日)</t>
  </si>
  <si>
    <r>
      <rPr>
        <b val="true"/>
        <sz val="10"/>
        <color rgb="FFFFFFFF"/>
        <rFont val="Meiryo"/>
        <family val="0"/>
        <charset val="1"/>
      </rPr>
      <t xml:space="preserve">A</t>
    </r>
    <r>
      <rPr>
        <b val="true"/>
        <sz val="10"/>
        <color rgb="FFFFFFFF"/>
        <rFont val="WenQuanYi Zen Hei"/>
        <family val="2"/>
      </rPr>
      <t xml:space="preserve">案表示</t>
    </r>
  </si>
  <si>
    <r>
      <rPr>
        <b val="true"/>
        <sz val="10"/>
        <color rgb="FFFFFFFF"/>
        <rFont val="Meiryo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案表示</t>
    </r>
  </si>
  <si>
    <r>
      <rPr>
        <b val="true"/>
        <sz val="10"/>
        <color rgb="FFFFFFFF"/>
        <rFont val="Meiryo"/>
        <family val="0"/>
        <charset val="1"/>
      </rPr>
      <t xml:space="preserve">CTA</t>
    </r>
    <r>
      <rPr>
        <b val="true"/>
        <sz val="10"/>
        <color rgb="FFFFFFFF"/>
        <rFont val="WenQuanYi Zen Hei"/>
        <family val="2"/>
      </rPr>
      <t xml:space="preserve">クリック</t>
    </r>
    <r>
      <rPr>
        <b val="true"/>
        <sz val="10"/>
        <color rgb="FFFFFFFF"/>
        <rFont val="Meiryo"/>
        <family val="0"/>
        <charset val="1"/>
      </rPr>
      <t xml:space="preserve">A</t>
    </r>
  </si>
  <si>
    <r>
      <rPr>
        <b val="true"/>
        <sz val="10"/>
        <color rgb="FFFFFFFF"/>
        <rFont val="Meiryo"/>
        <family val="0"/>
        <charset val="1"/>
      </rPr>
      <t xml:space="preserve">CTA</t>
    </r>
    <r>
      <rPr>
        <b val="true"/>
        <sz val="10"/>
        <color rgb="FFFFFFFF"/>
        <rFont val="WenQuanYi Zen Hei"/>
        <family val="2"/>
      </rPr>
      <t xml:space="preserve">クリック</t>
    </r>
    <r>
      <rPr>
        <b val="true"/>
        <sz val="10"/>
        <color rgb="FFFFFFFF"/>
        <rFont val="Meiryo"/>
        <family val="0"/>
        <charset val="1"/>
      </rPr>
      <t xml:space="preserve">B</t>
    </r>
  </si>
  <si>
    <t xml:space="preserve">転送A</t>
  </si>
  <si>
    <t xml:space="preserve">転送B</t>
  </si>
  <si>
    <r>
      <rPr>
        <b val="true"/>
        <sz val="10"/>
        <color rgb="FFFFFFFF"/>
        <rFont val="Meiryo"/>
        <family val="0"/>
        <charset val="1"/>
      </rPr>
      <t xml:space="preserve">LINE</t>
    </r>
    <r>
      <rPr>
        <b val="true"/>
        <sz val="10"/>
        <color rgb="FFFFFFFF"/>
        <rFont val="WenQuanYi Zen Hei"/>
        <family val="2"/>
      </rPr>
      <t xml:space="preserve">相談</t>
    </r>
  </si>
  <si>
    <t xml:space="preserve">説明会参加</t>
  </si>
  <si>
    <t xml:space="preserve">第1期契約</t>
  </si>
  <si>
    <t xml:space="preserve">相談率(相談/表示)</t>
  </si>
  <si>
    <t xml:space="preserve">転送率A</t>
  </si>
  <si>
    <t xml:space="preserve">転送率B</t>
  </si>
  <si>
    <r>
      <rPr>
        <b val="true"/>
        <sz val="10"/>
        <color rgb="FFFFFFFF"/>
        <rFont val="Meiryo"/>
        <family val="0"/>
        <charset val="1"/>
      </rPr>
      <t xml:space="preserve">A/B</t>
    </r>
    <r>
      <rPr>
        <b val="true"/>
        <sz val="10"/>
        <color rgb="FFFFFFFF"/>
        <rFont val="WenQuanYi Zen Hei"/>
        <family val="2"/>
      </rPr>
      <t xml:space="preserve">差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倍率</t>
    </r>
    <r>
      <rPr>
        <b val="true"/>
        <sz val="10"/>
        <color rgb="FFFFFFFF"/>
        <rFont val="Meiryo"/>
        <family val="0"/>
        <charset val="1"/>
      </rPr>
      <t xml:space="preserve">)</t>
    </r>
  </si>
  <si>
    <t xml:space="preserve">累計</t>
  </si>
  <si>
    <r>
      <rPr>
        <b val="true"/>
        <sz val="13"/>
        <color rgb="FF00335C"/>
        <rFont val="Meiryo"/>
        <family val="0"/>
        <charset val="1"/>
      </rPr>
      <t xml:space="preserve">Plan A LP </t>
    </r>
    <r>
      <rPr>
        <b val="true"/>
        <sz val="13"/>
        <color rgb="FF00335C"/>
        <rFont val="WenQuanYi Zen Hei"/>
        <family val="2"/>
      </rPr>
      <t xml:space="preserve">工程</t>
    </r>
    <r>
      <rPr>
        <b val="true"/>
        <sz val="13"/>
        <color rgb="FF00335C"/>
        <rFont val="Meiryo"/>
        <family val="0"/>
        <charset val="1"/>
      </rPr>
      <t xml:space="preserve">(</t>
    </r>
    <r>
      <rPr>
        <b val="true"/>
        <sz val="13"/>
        <color rgb="FF00335C"/>
        <rFont val="WenQuanYi Zen Hei"/>
        <family val="2"/>
      </rPr>
      <t xml:space="preserve">構成設計書</t>
    </r>
    <r>
      <rPr>
        <b val="true"/>
        <sz val="13"/>
        <color rgb="FF00335C"/>
        <rFont val="Meiryo"/>
        <family val="0"/>
        <charset val="1"/>
      </rPr>
      <t xml:space="preserve">v2 §7</t>
    </r>
    <r>
      <rPr>
        <b val="true"/>
        <sz val="13"/>
        <color rgb="FF00335C"/>
        <rFont val="WenQuanYi Zen Hei"/>
        <family val="2"/>
      </rPr>
      <t xml:space="preserve">・素材と法務を先に走らせる</t>
    </r>
    <r>
      <rPr>
        <b val="true"/>
        <sz val="13"/>
        <color rgb="FF00335C"/>
        <rFont val="Meiryo"/>
        <family val="0"/>
        <charset val="1"/>
      </rPr>
      <t xml:space="preserve">)</t>
    </r>
  </si>
  <si>
    <t xml:space="preserve">出所: docs/Plan A LP_構成設計書v2_20261001.md §7。黄色=入力欄(状態: 未着手/進行中/完了)。週は公開判定までの相対週。</t>
  </si>
  <si>
    <t xml:space="preserve">公開ゲート: update.yml の除外(go/plan-a, go/plan-a-line)を外すのは、根拠集め12項目と決裁6項目が揃ってから(§5 公開ゲート)。</t>
  </si>
  <si>
    <t xml:space="preserve">週</t>
  </si>
  <si>
    <t xml:space="preserve">やること</t>
  </si>
  <si>
    <t xml:space="preserve">完了の目印</t>
  </si>
  <si>
    <t xml:space="preserve">第1週</t>
  </si>
  <si>
    <t xml:space="preserve">本書の決裁(§8)/ 生産者の声の収集開始(説明会・LINE・嶺井さん人脈で10人に見出しA/B/Cを読ませる)/ 付録B-7の根拠集め開始(経歴・会員契約・授権書式)</t>
  </si>
  <si>
    <t xml:space="preserve">統括・提携部・守り部</t>
  </si>
  <si>
    <t xml:space="preserve">決裁済み項目一覧、見出しの反応メモ、根拠の有無一覧</t>
  </si>
  <si>
    <t xml:space="preserve">第2週</t>
  </si>
  <si>
    <r>
      <rPr>
        <sz val="10"/>
        <rFont val="Meiryo"/>
        <family val="0"/>
        <charset val="1"/>
      </rPr>
      <t xml:space="preserve">HTML</t>
    </r>
    <r>
      <rPr>
        <sz val="10"/>
        <rFont val="WenQuanYi Zen Hei"/>
        <family val="2"/>
      </rPr>
      <t xml:space="preserve">を</t>
    </r>
    <r>
      <rPr>
        <sz val="10"/>
        <rFont val="Meiryo"/>
        <family val="0"/>
        <charset val="1"/>
      </rPr>
      <t xml:space="preserve">v2</t>
    </r>
    <r>
      <rPr>
        <sz val="10"/>
        <rFont val="WenQuanYi Zen Hei"/>
        <family val="2"/>
      </rPr>
      <t xml:space="preserve">構成へ改修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ワイヤーフレーム通り</t>
    </r>
    <r>
      <rPr>
        <sz val="10"/>
        <rFont val="Meiryo"/>
        <family val="0"/>
        <charset val="1"/>
      </rPr>
      <t xml:space="preserve">)/ /go/plan-a-line/ </t>
    </r>
    <r>
      <rPr>
        <sz val="10"/>
        <rFont val="WenQuanYi Zen Hei"/>
        <family val="2"/>
      </rPr>
      <t xml:space="preserve">追加</t>
    </r>
    <r>
      <rPr>
        <sz val="10"/>
        <rFont val="Meiryo"/>
        <family val="0"/>
        <charset val="1"/>
      </rPr>
      <t xml:space="preserve">/ shipping_gate.py </t>
    </r>
    <r>
      <rPr>
        <sz val="10"/>
        <rFont val="WenQuanYi Zen Hei"/>
        <family val="2"/>
      </rPr>
      <t xml:space="preserve">の出力先追加</t>
    </r>
    <r>
      <rPr>
        <sz val="10"/>
        <rFont val="Meiryo"/>
        <family val="0"/>
        <charset val="1"/>
      </rPr>
      <t xml:space="preserve">/ </t>
    </r>
    <r>
      <rPr>
        <sz val="10"/>
        <rFont val="WenQuanYi Zen Hei"/>
        <family val="2"/>
      </rPr>
      <t xml:space="preserve">比較表の相場数字に出所を付ける</t>
    </r>
  </si>
  <si>
    <t xml:space="preserve">❶システム・検証部</t>
  </si>
  <si>
    <t xml:space="preserve">改修済みHTML、計測が動く、ゲートを通る</t>
  </si>
  <si>
    <t xml:space="preserve">第3週</t>
  </si>
  <si>
    <t xml:space="preserve">実在の生産者3社の写真・声(許諾書付き)/ 実商品写真の撮影/ FAQを実際の質問に差し替え</t>
  </si>
  <si>
    <t xml:space="preserve">提携部・SNS部・撮影</t>
  </si>
  <si>
    <t xml:space="preserve">許諾書3枚、写真、FAQ v1</t>
  </si>
  <si>
    <t xml:space="preserve">第4週</t>
  </si>
  <si>
    <t xml:space="preserve">守り部・検証部の原文照合(付録A・Bの全URL)/ みがきの会のレビュー/ Lighthouse実測(hojo-lighthouse-triage)/ 全端末QA</t>
  </si>
  <si>
    <t xml:space="preserve">守り部・検証部・みがきの会</t>
  </si>
  <si>
    <t xml:space="preserve">照合チェック表、Lighthouse記録</t>
  </si>
  <si>
    <t xml:space="preserve">第5週</t>
  </si>
  <si>
    <t xml:space="preserve">公開判定(小柳さん)→ update.yml の除外解除 → 公開 → 初週は毎日LINE相談の最初の質問を記録</t>
  </si>
  <si>
    <t xml:space="preserve">小柳さん・統括</t>
  </si>
  <si>
    <t xml:space="preserve">公開、相談ログ</t>
  </si>
  <si>
    <t xml:space="preserve">公開後1か月</t>
  </si>
  <si>
    <t xml:space="preserve">相談率・質問の中身で見出しと比較表を見直し(費用の質問が多ければ費用を上へ、騙されないかが多ければ取引保護を上へ)</t>
  </si>
  <si>
    <r>
      <rPr>
        <sz val="10"/>
        <rFont val="Meiryo"/>
        <family val="0"/>
        <charset val="1"/>
      </rPr>
      <t xml:space="preserve">SNS</t>
    </r>
    <r>
      <rPr>
        <sz val="10"/>
        <rFont val="WenQuanYi Zen Hei"/>
        <family val="2"/>
      </rPr>
      <t xml:space="preserve">部・</t>
    </r>
    <r>
      <rPr>
        <sz val="10"/>
        <rFont val="Meiryo"/>
        <family val="0"/>
        <charset val="1"/>
      </rPr>
      <t xml:space="preserve">LINE</t>
    </r>
    <r>
      <rPr>
        <sz val="10"/>
        <rFont val="WenQuanYi Zen Hei"/>
        <family val="2"/>
      </rPr>
      <t xml:space="preserve">部</t>
    </r>
  </si>
  <si>
    <t xml:space="preserve">改訂v2.1</t>
  </si>
  <si>
    <t xml:space="preserve">完了件数 / 工程数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</si>
</sst>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General"/>
    <numFmt numFmtId="167" formatCode="0%"/>
    <numFmt numFmtId="168" formatCode="#,##0"/>
    <numFmt numFmtId="169" formatCode="0.0%"/>
    <numFmt numFmtId="170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335C"/>
      <name val="Meiryo"/>
      <family val="0"/>
      <charset val="1"/>
    </font>
    <font>
      <b val="true"/>
      <sz val="13"/>
      <color rgb="FF00335C"/>
      <name val="WenQuanYi Zen Hei"/>
      <family val="2"/>
    </font>
    <font>
      <sz val="9"/>
      <color rgb="FF555555"/>
      <name val="WenQuanYi Zen Hei"/>
      <family val="2"/>
      <charset val="1"/>
    </font>
    <font>
      <b val="true"/>
      <sz val="10"/>
      <color rgb="FFFFFFFF"/>
      <name val="Meiryo"/>
      <family val="0"/>
      <charset val="1"/>
    </font>
    <font>
      <b val="true"/>
      <sz val="10"/>
      <color rgb="FFFFFFFF"/>
      <name val="WenQuanYi Zen Hei"/>
      <family val="2"/>
      <charset val="1"/>
    </font>
    <font>
      <sz val="10"/>
      <name val="Meiryo"/>
      <family val="0"/>
      <charset val="1"/>
    </font>
    <font>
      <sz val="10"/>
      <name val="WenQuanYi Zen Hei"/>
      <family val="2"/>
    </font>
    <font>
      <sz val="10"/>
      <name val="WenQuanYi Zen Hei"/>
      <family val="2"/>
      <charset val="1"/>
    </font>
    <font>
      <b val="true"/>
      <sz val="10"/>
      <name val="WenQuanYi Zen Hei"/>
      <family val="2"/>
      <charset val="1"/>
    </font>
    <font>
      <b val="true"/>
      <sz val="10"/>
      <name val="Meiryo"/>
      <family val="0"/>
      <charset val="1"/>
    </font>
    <font>
      <b val="true"/>
      <sz val="10"/>
      <name val="WenQuanYi Zen Hei"/>
      <family val="2"/>
    </font>
    <font>
      <b val="true"/>
      <sz val="10"/>
      <color rgb="FFB9502F"/>
      <name val="WenQuanYi Zen Hei"/>
      <family val="2"/>
      <charset val="1"/>
    </font>
    <font>
      <b val="true"/>
      <sz val="10"/>
      <color rgb="FFFFFFFF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00335C"/>
        <bgColor rgb="FF003300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5C"/>
      <rgbColor rgb="FF339966"/>
      <rgbColor rgb="FF003300"/>
      <rgbColor rgb="FF333300"/>
      <rgbColor rgb="FFB950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4"/>
    <col collapsed="false" customWidth="true" hidden="false" outlineLevel="0" max="3" min="3" style="1" width="52"/>
    <col collapsed="false" customWidth="true" hidden="false" outlineLevel="0" max="4" min="4" style="1" width="48"/>
    <col collapsed="false" customWidth="true" hidden="false" outlineLevel="0" max="5" min="5" style="1" width="22"/>
    <col collapsed="false" customWidth="true" hidden="false" outlineLevel="0" max="6" min="6" style="1" width="12"/>
    <col collapsed="false" customWidth="true" hidden="false" outlineLevel="0" max="7" min="7" style="1" width="46"/>
  </cols>
  <sheetData>
    <row r="1" customFormat="false" ht="16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5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39" hidden="false" customHeight="true" outlineLevel="0" collapsed="false">
      <c r="A6" s="6" t="n">
        <v>1</v>
      </c>
      <c r="B6" s="7" t="s">
        <v>10</v>
      </c>
      <c r="C6" s="7" t="s">
        <v>11</v>
      </c>
      <c r="D6" s="8" t="s">
        <v>12</v>
      </c>
      <c r="E6" s="9" t="s">
        <v>13</v>
      </c>
      <c r="F6" s="10"/>
      <c r="G6" s="7" t="s">
        <v>14</v>
      </c>
    </row>
    <row r="7" customFormat="false" ht="39" hidden="false" customHeight="true" outlineLevel="0" collapsed="false">
      <c r="A7" s="6" t="n">
        <v>2</v>
      </c>
      <c r="B7" s="8" t="s">
        <v>15</v>
      </c>
      <c r="C7" s="7" t="s">
        <v>16</v>
      </c>
      <c r="D7" s="8" t="s">
        <v>17</v>
      </c>
      <c r="E7" s="9" t="s">
        <v>18</v>
      </c>
      <c r="F7" s="10" t="s">
        <v>19</v>
      </c>
      <c r="G7" s="8" t="s">
        <v>20</v>
      </c>
    </row>
    <row r="8" customFormat="false" ht="26.25" hidden="false" customHeight="true" outlineLevel="0" collapsed="false">
      <c r="A8" s="6" t="n">
        <v>3</v>
      </c>
      <c r="B8" s="8" t="s">
        <v>21</v>
      </c>
      <c r="C8" s="8" t="s">
        <v>22</v>
      </c>
      <c r="D8" s="8" t="s">
        <v>23</v>
      </c>
      <c r="E8" s="9" t="s">
        <v>24</v>
      </c>
      <c r="F8" s="10" t="s">
        <v>19</v>
      </c>
      <c r="G8" s="8" t="s">
        <v>25</v>
      </c>
    </row>
    <row r="9" customFormat="false" ht="26.25" hidden="false" customHeight="true" outlineLevel="0" collapsed="false">
      <c r="A9" s="6" t="n">
        <v>4</v>
      </c>
      <c r="B9" s="8" t="s">
        <v>26</v>
      </c>
      <c r="C9" s="8" t="s">
        <v>27</v>
      </c>
      <c r="D9" s="8" t="s">
        <v>28</v>
      </c>
      <c r="E9" s="9" t="s">
        <v>29</v>
      </c>
      <c r="F9" s="10"/>
      <c r="G9" s="8" t="s">
        <v>30</v>
      </c>
    </row>
    <row r="10" customFormat="false" ht="39" hidden="false" customHeight="true" outlineLevel="0" collapsed="false">
      <c r="A10" s="6" t="n">
        <v>5</v>
      </c>
      <c r="B10" s="8" t="s">
        <v>31</v>
      </c>
      <c r="C10" s="7" t="s">
        <v>32</v>
      </c>
      <c r="D10" s="7" t="s">
        <v>33</v>
      </c>
      <c r="E10" s="9" t="s">
        <v>34</v>
      </c>
      <c r="F10" s="10" t="s">
        <v>19</v>
      </c>
      <c r="G10" s="8" t="s">
        <v>35</v>
      </c>
    </row>
    <row r="11" customFormat="false" ht="26.25" hidden="false" customHeight="true" outlineLevel="0" collapsed="false">
      <c r="A11" s="6" t="n">
        <v>6</v>
      </c>
      <c r="B11" s="8" t="s">
        <v>36</v>
      </c>
      <c r="C11" s="8" t="s">
        <v>37</v>
      </c>
      <c r="D11" s="8" t="s">
        <v>38</v>
      </c>
      <c r="E11" s="9" t="s">
        <v>39</v>
      </c>
      <c r="F11" s="10"/>
      <c r="G11" s="8" t="s">
        <v>40</v>
      </c>
    </row>
    <row r="13" customFormat="false" ht="15" hidden="false" customHeight="true" outlineLevel="0" collapsed="false">
      <c r="D13" s="11" t="s">
        <v>41</v>
      </c>
      <c r="E13" s="11" t="str">
        <f aca="false">COUNTA(E6:E11)&amp;" / "&amp;COUNTA(A6:A11)</f>
        <v>6 / 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50"/>
    <col collapsed="false" customWidth="true" hidden="false" outlineLevel="0" max="4" min="4" style="1" width="46"/>
    <col collapsed="false" customWidth="true" hidden="false" outlineLevel="0" max="5" min="5" style="1" width="14"/>
    <col collapsed="false" customWidth="true" hidden="false" outlineLevel="0" max="6" min="6" style="1" width="11"/>
    <col collapsed="false" customWidth="true" hidden="false" outlineLevel="0" max="7" min="7" style="1" width="12"/>
    <col collapsed="false" customWidth="true" hidden="false" outlineLevel="0" max="8" min="8" style="1" width="30"/>
  </cols>
  <sheetData>
    <row r="1" customFormat="false" ht="16.5" hidden="false" customHeight="true" outlineLevel="0" collapsed="false">
      <c r="A1" s="2" t="s">
        <v>42</v>
      </c>
    </row>
    <row r="2" customFormat="false" ht="15" hidden="false" customHeight="true" outlineLevel="0" collapsed="false">
      <c r="A2" s="3" t="s">
        <v>43</v>
      </c>
    </row>
    <row r="3" customFormat="false" ht="15" hidden="false" customHeight="true" outlineLevel="0" collapsed="false">
      <c r="A3" s="3" t="s">
        <v>44</v>
      </c>
    </row>
    <row r="5" customFormat="false" ht="15" hidden="false" customHeight="true" outlineLevel="0" collapsed="false">
      <c r="E5" s="12" t="s">
        <v>45</v>
      </c>
      <c r="F5" s="11" t="str">
        <f aca="false">COUNTIF(F8:F19,"取得済")+COUNTIF(F8:F19,"反映済")&amp;" / "&amp;COUNTA(A8:A19)</f>
        <v>0 / 12</v>
      </c>
    </row>
    <row r="7" customFormat="false" ht="15" hidden="false" customHeight="true" outlineLevel="0" collapsed="false">
      <c r="A7" s="4" t="s">
        <v>3</v>
      </c>
      <c r="B7" s="5" t="s">
        <v>46</v>
      </c>
      <c r="C7" s="5" t="s">
        <v>47</v>
      </c>
      <c r="D7" s="5" t="s">
        <v>48</v>
      </c>
      <c r="E7" s="5" t="s">
        <v>49</v>
      </c>
      <c r="F7" s="5" t="s">
        <v>50</v>
      </c>
      <c r="G7" s="5" t="s">
        <v>51</v>
      </c>
      <c r="H7" s="5" t="s">
        <v>52</v>
      </c>
    </row>
    <row r="8" customFormat="false" ht="26.25" hidden="false" customHeight="true" outlineLevel="0" collapsed="false">
      <c r="A8" s="6" t="n">
        <v>1</v>
      </c>
      <c r="B8" s="8" t="s">
        <v>53</v>
      </c>
      <c r="C8" s="8" t="s">
        <v>54</v>
      </c>
      <c r="D8" s="13" t="s">
        <v>55</v>
      </c>
      <c r="E8" s="8" t="s">
        <v>56</v>
      </c>
      <c r="F8" s="14" t="s">
        <v>57</v>
      </c>
      <c r="G8" s="10"/>
      <c r="H8" s="13"/>
    </row>
    <row r="9" customFormat="false" ht="26.25" hidden="false" customHeight="true" outlineLevel="0" collapsed="false">
      <c r="A9" s="6" t="n">
        <v>2</v>
      </c>
      <c r="B9" s="8" t="s">
        <v>58</v>
      </c>
      <c r="C9" s="7" t="s">
        <v>59</v>
      </c>
      <c r="D9" s="13" t="s">
        <v>60</v>
      </c>
      <c r="E9" s="8" t="s">
        <v>56</v>
      </c>
      <c r="F9" s="14" t="s">
        <v>57</v>
      </c>
      <c r="G9" s="10"/>
      <c r="H9" s="13"/>
    </row>
    <row r="10" customFormat="false" ht="15" hidden="false" customHeight="true" outlineLevel="0" collapsed="false">
      <c r="A10" s="6" t="n">
        <v>3</v>
      </c>
      <c r="B10" s="8" t="s">
        <v>61</v>
      </c>
      <c r="C10" s="8" t="s">
        <v>62</v>
      </c>
      <c r="D10" s="13"/>
      <c r="E10" s="8" t="s">
        <v>63</v>
      </c>
      <c r="F10" s="14" t="s">
        <v>57</v>
      </c>
      <c r="G10" s="10"/>
      <c r="H10" s="13"/>
    </row>
    <row r="11" customFormat="false" ht="15" hidden="false" customHeight="true" outlineLevel="0" collapsed="false">
      <c r="A11" s="6" t="n">
        <v>4</v>
      </c>
      <c r="B11" s="7" t="s">
        <v>64</v>
      </c>
      <c r="C11" s="8" t="s">
        <v>65</v>
      </c>
      <c r="D11" s="13"/>
      <c r="E11" s="8" t="s">
        <v>63</v>
      </c>
      <c r="F11" s="14" t="s">
        <v>57</v>
      </c>
      <c r="G11" s="10"/>
      <c r="H11" s="13"/>
    </row>
    <row r="12" customFormat="false" ht="26.25" hidden="false" customHeight="true" outlineLevel="0" collapsed="false">
      <c r="A12" s="6" t="n">
        <v>5</v>
      </c>
      <c r="B12" s="8" t="s">
        <v>66</v>
      </c>
      <c r="C12" s="7" t="s">
        <v>67</v>
      </c>
      <c r="D12" s="13"/>
      <c r="E12" s="8" t="s">
        <v>56</v>
      </c>
      <c r="F12" s="14" t="s">
        <v>57</v>
      </c>
      <c r="G12" s="10"/>
      <c r="H12" s="13"/>
    </row>
    <row r="13" customFormat="false" ht="15" hidden="false" customHeight="true" outlineLevel="0" collapsed="false">
      <c r="A13" s="6" t="n">
        <v>6</v>
      </c>
      <c r="B13" s="8" t="s">
        <v>68</v>
      </c>
      <c r="C13" s="8" t="s">
        <v>69</v>
      </c>
      <c r="D13" s="13"/>
      <c r="E13" s="8" t="s">
        <v>70</v>
      </c>
      <c r="F13" s="14" t="s">
        <v>57</v>
      </c>
      <c r="G13" s="10"/>
      <c r="H13" s="13"/>
    </row>
    <row r="14" customFormat="false" ht="15" hidden="false" customHeight="true" outlineLevel="0" collapsed="false">
      <c r="A14" s="6" t="n">
        <v>7</v>
      </c>
      <c r="B14" s="8" t="s">
        <v>71</v>
      </c>
      <c r="C14" s="8" t="s">
        <v>72</v>
      </c>
      <c r="D14" s="13"/>
      <c r="E14" s="8" t="s">
        <v>63</v>
      </c>
      <c r="F14" s="14" t="s">
        <v>57</v>
      </c>
      <c r="G14" s="10"/>
      <c r="H14" s="13"/>
    </row>
    <row r="15" customFormat="false" ht="15" hidden="false" customHeight="true" outlineLevel="0" collapsed="false">
      <c r="A15" s="6" t="n">
        <v>8</v>
      </c>
      <c r="B15" s="7" t="s">
        <v>73</v>
      </c>
      <c r="C15" s="8" t="s">
        <v>74</v>
      </c>
      <c r="D15" s="13"/>
      <c r="E15" s="8" t="s">
        <v>70</v>
      </c>
      <c r="F15" s="14" t="s">
        <v>57</v>
      </c>
      <c r="G15" s="10"/>
      <c r="H15" s="13"/>
    </row>
    <row r="16" customFormat="false" ht="26.25" hidden="false" customHeight="true" outlineLevel="0" collapsed="false">
      <c r="A16" s="6" t="n">
        <v>9</v>
      </c>
      <c r="B16" s="8" t="s">
        <v>75</v>
      </c>
      <c r="C16" s="8" t="s">
        <v>76</v>
      </c>
      <c r="D16" s="13" t="s">
        <v>77</v>
      </c>
      <c r="E16" s="8" t="s">
        <v>70</v>
      </c>
      <c r="F16" s="14" t="s">
        <v>57</v>
      </c>
      <c r="G16" s="10"/>
      <c r="H16" s="13"/>
    </row>
    <row r="17" customFormat="false" ht="26.25" hidden="false" customHeight="true" outlineLevel="0" collapsed="false">
      <c r="A17" s="6" t="n">
        <v>10</v>
      </c>
      <c r="B17" s="8" t="s">
        <v>78</v>
      </c>
      <c r="C17" s="8" t="s">
        <v>79</v>
      </c>
      <c r="D17" s="13" t="s">
        <v>80</v>
      </c>
      <c r="E17" s="8" t="s">
        <v>70</v>
      </c>
      <c r="F17" s="14" t="s">
        <v>57</v>
      </c>
      <c r="G17" s="10"/>
      <c r="H17" s="13"/>
    </row>
    <row r="18" customFormat="false" ht="26.25" hidden="false" customHeight="true" outlineLevel="0" collapsed="false">
      <c r="A18" s="6" t="n">
        <v>11</v>
      </c>
      <c r="B18" s="7" t="s">
        <v>81</v>
      </c>
      <c r="C18" s="8" t="s">
        <v>82</v>
      </c>
      <c r="D18" s="13"/>
      <c r="E18" s="8" t="s">
        <v>83</v>
      </c>
      <c r="F18" s="14" t="s">
        <v>57</v>
      </c>
      <c r="G18" s="10"/>
      <c r="H18" s="13"/>
    </row>
    <row r="19" customFormat="false" ht="15" hidden="false" customHeight="true" outlineLevel="0" collapsed="false">
      <c r="A19" s="6" t="n">
        <v>12</v>
      </c>
      <c r="B19" s="8" t="s">
        <v>84</v>
      </c>
      <c r="C19" s="8" t="s">
        <v>85</v>
      </c>
      <c r="D19" s="13"/>
      <c r="E19" s="8" t="s">
        <v>86</v>
      </c>
      <c r="F19" s="14" t="s">
        <v>57</v>
      </c>
      <c r="G19" s="10"/>
      <c r="H19" s="13"/>
    </row>
    <row r="21" customFormat="false" ht="15" hidden="false" customHeight="true" outlineLevel="0" collapsed="false">
      <c r="E21" s="11" t="s">
        <v>87</v>
      </c>
    </row>
    <row r="22" customFormat="false" ht="15" hidden="false" customHeight="true" outlineLevel="0" collapsed="false">
      <c r="E22" s="15" t="s">
        <v>57</v>
      </c>
      <c r="F22" s="15" t="n">
        <f aca="false">COUNTIF(F8:F19,E22)</f>
        <v>12</v>
      </c>
    </row>
    <row r="23" customFormat="false" ht="15" hidden="false" customHeight="true" outlineLevel="0" collapsed="false">
      <c r="E23" s="15" t="s">
        <v>88</v>
      </c>
      <c r="F23" s="15" t="n">
        <f aca="false">COUNTIF(F8:F19,E23)</f>
        <v>0</v>
      </c>
    </row>
    <row r="24" customFormat="false" ht="15" hidden="false" customHeight="true" outlineLevel="0" collapsed="false">
      <c r="E24" s="15" t="s">
        <v>89</v>
      </c>
      <c r="F24" s="15" t="n">
        <f aca="false">COUNTIF(F8:F19,E24)</f>
        <v>0</v>
      </c>
    </row>
    <row r="25" customFormat="false" ht="15" hidden="false" customHeight="true" outlineLevel="0" collapsed="false">
      <c r="E25" s="15" t="s">
        <v>90</v>
      </c>
      <c r="F25" s="15" t="n">
        <f aca="false">COUNTIF(F8:F19,E25)</f>
        <v>0</v>
      </c>
    </row>
  </sheetData>
  <dataValidations count="1">
    <dataValidation allowBlank="true" error="未着手/依頼中/取得済/反映済 から選んでください" errorStyle="stop" operator="between" showDropDown="false" showErrorMessage="false" showInputMessage="false" sqref="F8:F19" type="list">
      <formula1>"未着手,依頼中,取得済,反映済"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4"/>
    <col collapsed="false" customWidth="true" hidden="false" outlineLevel="0" max="4" min="3" style="1" width="14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40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44"/>
  </cols>
  <sheetData>
    <row r="1" customFormat="false" ht="16.5" hidden="false" customHeight="true" outlineLevel="0" collapsed="false">
      <c r="A1" s="2" t="s">
        <v>91</v>
      </c>
    </row>
    <row r="2" customFormat="false" ht="15" hidden="false" customHeight="true" outlineLevel="0" collapsed="false">
      <c r="A2" s="3" t="s">
        <v>92</v>
      </c>
    </row>
    <row r="3" customFormat="false" ht="15" hidden="false" customHeight="true" outlineLevel="0" collapsed="false">
      <c r="A3" s="3" t="s">
        <v>93</v>
      </c>
    </row>
    <row r="4" customFormat="false" ht="15" hidden="false" customHeight="true" outlineLevel="0" collapsed="false">
      <c r="A4" s="3" t="s">
        <v>94</v>
      </c>
    </row>
    <row r="5" customFormat="false" ht="15" hidden="false" customHeight="true" outlineLevel="0" collapsed="false">
      <c r="A5" s="3" t="s">
        <v>95</v>
      </c>
    </row>
    <row r="7" customFormat="false" ht="15" hidden="false" customHeight="true" outlineLevel="0" collapsed="false">
      <c r="A7" s="11" t="s">
        <v>96</v>
      </c>
    </row>
    <row r="8" customFormat="false" ht="15" hidden="false" customHeight="true" outlineLevel="0" collapsed="false">
      <c r="A8" s="16" t="s">
        <v>97</v>
      </c>
      <c r="B8" s="15" t="s">
        <v>98</v>
      </c>
    </row>
    <row r="9" customFormat="false" ht="15" hidden="false" customHeight="true" outlineLevel="0" collapsed="false">
      <c r="A9" s="16" t="s">
        <v>99</v>
      </c>
      <c r="B9" s="15" t="s">
        <v>100</v>
      </c>
    </row>
    <row r="10" customFormat="false" ht="15" hidden="false" customHeight="true" outlineLevel="0" collapsed="false">
      <c r="A10" s="16" t="s">
        <v>101</v>
      </c>
      <c r="B10" s="15" t="s">
        <v>102</v>
      </c>
    </row>
    <row r="11" customFormat="false" ht="15" hidden="false" customHeight="true" outlineLevel="0" collapsed="false">
      <c r="A11" s="16" t="s">
        <v>103</v>
      </c>
      <c r="B11" s="15" t="s">
        <v>104</v>
      </c>
    </row>
    <row r="13" customFormat="false" ht="24.75" hidden="false" customHeight="true" outlineLevel="0" collapsed="false">
      <c r="A13" s="4" t="s">
        <v>3</v>
      </c>
      <c r="B13" s="5" t="s">
        <v>105</v>
      </c>
      <c r="C13" s="5" t="s">
        <v>106</v>
      </c>
      <c r="D13" s="5" t="s">
        <v>107</v>
      </c>
      <c r="E13" s="5" t="s">
        <v>108</v>
      </c>
      <c r="F13" s="5" t="s">
        <v>109</v>
      </c>
      <c r="G13" s="5" t="s">
        <v>110</v>
      </c>
      <c r="H13" s="5" t="s">
        <v>111</v>
      </c>
      <c r="I13" s="5" t="s">
        <v>112</v>
      </c>
      <c r="J13" s="5" t="s">
        <v>113</v>
      </c>
      <c r="K13" s="5" t="s">
        <v>114</v>
      </c>
    </row>
    <row r="14" customFormat="false" ht="15" hidden="false" customHeight="true" outlineLevel="0" collapsed="false">
      <c r="A14" s="17" t="s">
        <v>115</v>
      </c>
      <c r="B14" s="14" t="s">
        <v>116</v>
      </c>
      <c r="C14" s="13" t="s">
        <v>117</v>
      </c>
      <c r="D14" s="18" t="s">
        <v>99</v>
      </c>
      <c r="E14" s="18" t="s">
        <v>118</v>
      </c>
      <c r="F14" s="18"/>
      <c r="G14" s="18"/>
      <c r="H14" s="18" t="s">
        <v>119</v>
      </c>
      <c r="I14" s="18"/>
      <c r="J14" s="19" t="s">
        <v>120</v>
      </c>
      <c r="K14" s="13" t="s">
        <v>121</v>
      </c>
    </row>
    <row r="15" customFormat="false" ht="15" hidden="false" customHeight="true" outlineLevel="0" collapsed="false">
      <c r="A15" s="6" t="n">
        <v>1</v>
      </c>
      <c r="B15" s="13"/>
      <c r="C15" s="13"/>
      <c r="D15" s="18"/>
      <c r="E15" s="18"/>
      <c r="F15" s="18"/>
      <c r="G15" s="18"/>
      <c r="H15" s="18"/>
      <c r="I15" s="18"/>
      <c r="J15" s="19"/>
      <c r="K15" s="13"/>
    </row>
    <row r="16" customFormat="false" ht="15" hidden="false" customHeight="true" outlineLevel="0" collapsed="false">
      <c r="A16" s="6" t="n">
        <v>2</v>
      </c>
      <c r="B16" s="13"/>
      <c r="C16" s="13"/>
      <c r="D16" s="18"/>
      <c r="E16" s="18"/>
      <c r="F16" s="18"/>
      <c r="G16" s="18"/>
      <c r="H16" s="18"/>
      <c r="I16" s="18"/>
      <c r="J16" s="19"/>
      <c r="K16" s="13"/>
    </row>
    <row r="17" customFormat="false" ht="15" hidden="false" customHeight="true" outlineLevel="0" collapsed="false">
      <c r="A17" s="6" t="n">
        <v>3</v>
      </c>
      <c r="B17" s="13"/>
      <c r="C17" s="13"/>
      <c r="D17" s="18"/>
      <c r="E17" s="18"/>
      <c r="F17" s="18"/>
      <c r="G17" s="18"/>
      <c r="H17" s="18"/>
      <c r="I17" s="18"/>
      <c r="J17" s="19"/>
      <c r="K17" s="13"/>
    </row>
    <row r="18" customFormat="false" ht="15" hidden="false" customHeight="true" outlineLevel="0" collapsed="false">
      <c r="A18" s="6" t="n">
        <v>4</v>
      </c>
      <c r="B18" s="13"/>
      <c r="C18" s="13"/>
      <c r="D18" s="18"/>
      <c r="E18" s="18"/>
      <c r="F18" s="18"/>
      <c r="G18" s="18"/>
      <c r="H18" s="18"/>
      <c r="I18" s="18"/>
      <c r="J18" s="19"/>
      <c r="K18" s="13"/>
    </row>
    <row r="19" customFormat="false" ht="15" hidden="false" customHeight="true" outlineLevel="0" collapsed="false">
      <c r="A19" s="6" t="n">
        <v>5</v>
      </c>
      <c r="B19" s="13"/>
      <c r="C19" s="13"/>
      <c r="D19" s="18"/>
      <c r="E19" s="18"/>
      <c r="F19" s="18"/>
      <c r="G19" s="18"/>
      <c r="H19" s="18"/>
      <c r="I19" s="18"/>
      <c r="J19" s="19"/>
      <c r="K19" s="13"/>
    </row>
    <row r="20" customFormat="false" ht="15" hidden="false" customHeight="true" outlineLevel="0" collapsed="false">
      <c r="A20" s="6" t="n">
        <v>6</v>
      </c>
      <c r="B20" s="13"/>
      <c r="C20" s="13"/>
      <c r="D20" s="18"/>
      <c r="E20" s="18"/>
      <c r="F20" s="18"/>
      <c r="G20" s="18"/>
      <c r="H20" s="18"/>
      <c r="I20" s="18"/>
      <c r="J20" s="19"/>
      <c r="K20" s="13"/>
    </row>
    <row r="21" customFormat="false" ht="15" hidden="false" customHeight="true" outlineLevel="0" collapsed="false">
      <c r="A21" s="6" t="n">
        <v>7</v>
      </c>
      <c r="B21" s="13"/>
      <c r="C21" s="13"/>
      <c r="D21" s="18"/>
      <c r="E21" s="18"/>
      <c r="F21" s="18"/>
      <c r="G21" s="18"/>
      <c r="H21" s="18"/>
      <c r="I21" s="18"/>
      <c r="J21" s="19"/>
      <c r="K21" s="13"/>
    </row>
    <row r="22" customFormat="false" ht="15" hidden="false" customHeight="true" outlineLevel="0" collapsed="false">
      <c r="A22" s="6" t="n">
        <v>8</v>
      </c>
      <c r="B22" s="13"/>
      <c r="C22" s="13"/>
      <c r="D22" s="18"/>
      <c r="E22" s="18"/>
      <c r="F22" s="18"/>
      <c r="G22" s="18"/>
      <c r="H22" s="18"/>
      <c r="I22" s="18"/>
      <c r="J22" s="19"/>
      <c r="K22" s="13"/>
    </row>
    <row r="23" customFormat="false" ht="15" hidden="false" customHeight="true" outlineLevel="0" collapsed="false">
      <c r="A23" s="6" t="n">
        <v>9</v>
      </c>
      <c r="B23" s="13"/>
      <c r="C23" s="13"/>
      <c r="D23" s="18"/>
      <c r="E23" s="18"/>
      <c r="F23" s="18"/>
      <c r="G23" s="18"/>
      <c r="H23" s="18"/>
      <c r="I23" s="18"/>
      <c r="J23" s="19"/>
      <c r="K23" s="13"/>
    </row>
    <row r="24" customFormat="false" ht="15" hidden="false" customHeight="true" outlineLevel="0" collapsed="false">
      <c r="A24" s="6" t="n">
        <v>10</v>
      </c>
      <c r="B24" s="13"/>
      <c r="C24" s="13"/>
      <c r="D24" s="18"/>
      <c r="E24" s="18"/>
      <c r="F24" s="18"/>
      <c r="G24" s="18"/>
      <c r="H24" s="18"/>
      <c r="I24" s="18"/>
      <c r="J24" s="19"/>
      <c r="K24" s="13"/>
    </row>
    <row r="26" customFormat="false" ht="15" hidden="false" customHeight="true" outlineLevel="0" collapsed="false">
      <c r="A26" s="11" t="s">
        <v>122</v>
      </c>
    </row>
    <row r="27" customFormat="false" ht="15" hidden="false" customHeight="true" outlineLevel="0" collapsed="false">
      <c r="A27" s="5" t="s">
        <v>123</v>
      </c>
      <c r="B27" s="5" t="s">
        <v>124</v>
      </c>
      <c r="C27" s="5" t="s">
        <v>125</v>
      </c>
      <c r="D27" s="5" t="s">
        <v>126</v>
      </c>
      <c r="E27" s="5" t="s">
        <v>127</v>
      </c>
      <c r="F27" s="5" t="s">
        <v>128</v>
      </c>
      <c r="G27" s="5" t="s">
        <v>129</v>
      </c>
      <c r="H27" s="5" t="s">
        <v>130</v>
      </c>
    </row>
    <row r="28" customFormat="false" ht="26.25" hidden="false" customHeight="true" outlineLevel="0" collapsed="false">
      <c r="A28" s="6" t="s">
        <v>97</v>
      </c>
      <c r="B28" s="8" t="s">
        <v>98</v>
      </c>
      <c r="C28" s="6" t="n">
        <f aca="false">COUNTIF($D$14:$D$24,"A")</f>
        <v>0</v>
      </c>
      <c r="D28" s="6" t="n">
        <f aca="false">COUNTIF($E$14:$E$24,"A")</f>
        <v>0</v>
      </c>
      <c r="E28" s="6" t="n">
        <f aca="false">COUNTIF($F$14:$F$24,"○")</f>
        <v>0</v>
      </c>
      <c r="F28" s="7" t="str">
        <f aca="false">IF(SUM($C$28:$C$31)=0,"(未入力)",IF(C28=MAX($C$28:$C$31),"自分向き最多",""))</f>
        <v/>
      </c>
      <c r="G28" s="7" t="str">
        <f aca="false">IF(E28&gt;=3,"胡散臭い3人以上は不採用","")</f>
        <v/>
      </c>
      <c r="H28" s="7" t="s">
        <v>131</v>
      </c>
    </row>
    <row r="29" customFormat="false" ht="15" hidden="false" customHeight="true" outlineLevel="0" collapsed="false">
      <c r="A29" s="6" t="s">
        <v>99</v>
      </c>
      <c r="B29" s="8" t="s">
        <v>100</v>
      </c>
      <c r="C29" s="6" t="n">
        <f aca="false">COUNTIF($D$14:$D$24,"B")</f>
        <v>1</v>
      </c>
      <c r="D29" s="6" t="n">
        <f aca="false">COUNTIF($E$14:$E$24,"B")</f>
        <v>0</v>
      </c>
      <c r="E29" s="6" t="n">
        <f aca="false">COUNTIF($G$14:$G$24,"○")</f>
        <v>0</v>
      </c>
      <c r="F29" s="7" t="str">
        <f aca="false">IF(SUM($C$28:$C$31)=0,"(未入力)",IF(C29=MAX($C$28:$C$31),"自分向き最多",""))</f>
        <v>自分向き最多</v>
      </c>
      <c r="G29" s="7" t="str">
        <f aca="false">IF(E29&gt;=3,"胡散臭い3人以上は不採用","")</f>
        <v/>
      </c>
      <c r="H29" s="7" t="s">
        <v>131</v>
      </c>
    </row>
    <row r="30" customFormat="false" ht="15" hidden="false" customHeight="true" outlineLevel="0" collapsed="false">
      <c r="A30" s="6" t="s">
        <v>101</v>
      </c>
      <c r="B30" s="8" t="s">
        <v>102</v>
      </c>
      <c r="C30" s="6" t="n">
        <f aca="false">COUNTIF($D$14:$D$24,"C")</f>
        <v>0</v>
      </c>
      <c r="D30" s="6" t="n">
        <f aca="false">COUNTIF($E$14:$E$24,"C")</f>
        <v>0</v>
      </c>
      <c r="E30" s="6" t="n">
        <f aca="false">COUNTIF($H$14:$H$24,"○")</f>
        <v>1</v>
      </c>
      <c r="F30" s="7" t="str">
        <f aca="false">IF(SUM($C$28:$C$31)=0,"(未入力)",IF(C30=MAX($C$28:$C$31),"自分向き最多",""))</f>
        <v/>
      </c>
      <c r="G30" s="7" t="str">
        <f aca="false">IF(E30&gt;=3,"胡散臭い3人以上は不採用","")</f>
        <v/>
      </c>
      <c r="H30" s="7" t="s">
        <v>131</v>
      </c>
    </row>
    <row r="31" customFormat="false" ht="26.25" hidden="false" customHeight="true" outlineLevel="0" collapsed="false">
      <c r="A31" s="6" t="s">
        <v>132</v>
      </c>
      <c r="B31" s="8" t="s">
        <v>104</v>
      </c>
      <c r="C31" s="6" t="n">
        <f aca="false">COUNTIF($D$14:$D$24,"D")</f>
        <v>0</v>
      </c>
      <c r="D31" s="6" t="n">
        <f aca="false">COUNTIF($E$14:$E$24,"D")</f>
        <v>1</v>
      </c>
      <c r="E31" s="6" t="n">
        <f aca="false">COUNTIF($I$14:$I$24,"○")</f>
        <v>0</v>
      </c>
      <c r="F31" s="7" t="str">
        <f aca="false">IF(SUM($C$28:$C$31)=0,"(未入力)",IF(C31=MAX($C$28:$C$31),"自分向き最多",""))</f>
        <v/>
      </c>
      <c r="G31" s="7" t="str">
        <f aca="false">IF(E31&gt;=3,"胡散臭い3人以上は不採用","")</f>
        <v/>
      </c>
      <c r="H31" s="7" t="str">
        <f aca="false">IF(SUM($D$28:$D$31)=0,"(未入力)",IF(AND(D31=MAX($D$28:$D$31),E31&lt;=2),"気になる最多かつ胡散臭い2人以下→B案見出し据え置き","見直し(気になる最多でない、または胡散臭い3人以上)"))</f>
        <v>気になる最多かつ胡散臭い2人以下→B案見出し据え置き</v>
      </c>
    </row>
    <row r="32" customFormat="false" ht="15" hidden="false" customHeight="true" outlineLevel="0" collapsed="false">
      <c r="B32" s="15" t="s">
        <v>133</v>
      </c>
      <c r="C32" s="20" t="n">
        <f aca="false">COUNTA($D$14:$D$24)</f>
        <v>1</v>
      </c>
      <c r="D32" s="3" t="s">
        <v>134</v>
      </c>
    </row>
    <row r="34" customFormat="false" ht="15" hidden="false" customHeight="true" outlineLevel="0" collapsed="false">
      <c r="A34" s="11" t="s">
        <v>135</v>
      </c>
    </row>
    <row r="35" customFormat="false" ht="15" hidden="false" customHeight="true" outlineLevel="0" collapsed="false">
      <c r="A35" s="5" t="s">
        <v>136</v>
      </c>
      <c r="B35" s="5" t="s">
        <v>137</v>
      </c>
      <c r="C35" s="5" t="s">
        <v>138</v>
      </c>
    </row>
    <row r="36" customFormat="false" ht="15" hidden="false" customHeight="true" outlineLevel="0" collapsed="false">
      <c r="A36" s="8" t="s">
        <v>120</v>
      </c>
      <c r="B36" s="6" t="n">
        <f aca="false">COUNTIF($J$14:$J$24,A36)</f>
        <v>1</v>
      </c>
      <c r="C36" s="21" t="n">
        <f aca="false">IF(COUNTA($J$14:$J$24)=0,"",B36/COUNTA($J$14:$J$24))</f>
        <v>1</v>
      </c>
    </row>
    <row r="37" customFormat="false" ht="15" hidden="false" customHeight="true" outlineLevel="0" collapsed="false">
      <c r="A37" s="8" t="s">
        <v>139</v>
      </c>
      <c r="B37" s="6" t="n">
        <f aca="false">COUNTIF($J$14:$J$24,A37)</f>
        <v>0</v>
      </c>
      <c r="C37" s="21" t="n">
        <f aca="false">IF(COUNTA($J$14:$J$24)=0,"",B37/COUNTA($J$14:$J$24))</f>
        <v>0</v>
      </c>
    </row>
    <row r="38" customFormat="false" ht="26.25" hidden="false" customHeight="true" outlineLevel="0" collapsed="false">
      <c r="A38" s="8" t="s">
        <v>140</v>
      </c>
      <c r="B38" s="6" t="n">
        <f aca="false">COUNTIF($J$14:$J$24,A38)</f>
        <v>0</v>
      </c>
      <c r="C38" s="21" t="n">
        <f aca="false">IF(COUNTA($J$14:$J$24)=0,"",B38/COUNTA($J$14:$J$24))</f>
        <v>0</v>
      </c>
    </row>
    <row r="39" customFormat="false" ht="15" hidden="false" customHeight="true" outlineLevel="0" collapsed="false">
      <c r="A39" s="8" t="s">
        <v>141</v>
      </c>
      <c r="B39" s="6" t="n">
        <f aca="false">COUNTIF($J$14:$J$24,A39)</f>
        <v>0</v>
      </c>
      <c r="C39" s="21" t="n">
        <f aca="false">IF(COUNTA($J$14:$J$24)=0,"",B39/COUNTA($J$14:$J$24))</f>
        <v>0</v>
      </c>
    </row>
    <row r="40" customFormat="false" ht="15" hidden="false" customHeight="true" outlineLevel="0" collapsed="false">
      <c r="A40" s="8" t="s">
        <v>142</v>
      </c>
      <c r="B40" s="6" t="n">
        <f aca="false">COUNTIF($J$14:$J$24,A40)</f>
        <v>0</v>
      </c>
      <c r="C40" s="21" t="n">
        <f aca="false">IF(COUNTA($J$14:$J$24)=0,"",B40/COUNTA($J$14:$J$24))</f>
        <v>0</v>
      </c>
    </row>
    <row r="41" customFormat="false" ht="15" hidden="false" customHeight="true" outlineLevel="0" collapsed="false">
      <c r="A41" s="11" t="s">
        <v>143</v>
      </c>
      <c r="B41" s="22" t="n">
        <f aca="false">SUM(B36:B40)</f>
        <v>1</v>
      </c>
    </row>
    <row r="42" customFormat="false" ht="15" hidden="false" customHeight="true" outlineLevel="0" collapsed="false">
      <c r="A42" s="11" t="s">
        <v>144</v>
      </c>
      <c r="B42" s="15" t="str">
        <f aca="false">IF(SUM(B36:B40)=0,"(未入力)","最多: "&amp;INDEX(A36:A40,MATCH(MAX(B36:B40),B36:B40,0))&amp;" → 費用が多ければ費用の段を上へ、騙されないか・英語が多ければ取引保護と日本語の段を上へ")</f>
        <v>最多: 費用 → 費用が多ければ費用の段を上へ、騙されないか・英語が多ければ取引保護と日本語の段を上へ</v>
      </c>
    </row>
  </sheetData>
  <dataValidations count="3">
    <dataValidation allowBlank="true" errorStyle="stop" operator="between" showDropDown="false" showErrorMessage="false" showInputMessage="false" sqref="D14:E24" type="list">
      <formula1>"A,B,C,D"</formula1>
      <formula2>0</formula2>
    </dataValidation>
    <dataValidation allowBlank="true" errorStyle="stop" operator="between" showDropDown="false" showErrorMessage="false" showInputMessage="false" sqref="F14:I24" type="list">
      <formula1>"○"</formula1>
      <formula2>0</formula2>
    </dataValidation>
    <dataValidation allowBlank="true" errorStyle="stop" operator="between" showDropDown="false" showErrorMessage="false" showInputMessage="false" sqref="J14:J24" type="list">
      <formula1>"費用,英語,騙されないか,手間,その他"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3" min="2" style="1" width="10"/>
    <col collapsed="false" customWidth="true" hidden="false" outlineLevel="0" max="5" min="4" style="1" width="13"/>
    <col collapsed="false" customWidth="true" hidden="false" outlineLevel="0" max="7" min="6" style="1" width="9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5"/>
    <col collapsed="false" customWidth="true" hidden="false" outlineLevel="0" max="13" min="12" style="1" width="10"/>
    <col collapsed="false" customWidth="true" hidden="false" outlineLevel="0" max="14" min="14" style="1" width="13"/>
    <col collapsed="false" customWidth="true" hidden="false" outlineLevel="0" max="15" min="15" style="1" width="44"/>
  </cols>
  <sheetData>
    <row r="1" customFormat="false" ht="16.5" hidden="false" customHeight="true" outlineLevel="0" collapsed="false">
      <c r="A1" s="2" t="s">
        <v>145</v>
      </c>
    </row>
    <row r="2" customFormat="false" ht="15" hidden="false" customHeight="true" outlineLevel="0" collapsed="false">
      <c r="A2" s="3" t="s">
        <v>146</v>
      </c>
    </row>
    <row r="3" customFormat="false" ht="15" hidden="false" customHeight="true" outlineLevel="0" collapsed="false">
      <c r="A3" s="3" t="s">
        <v>147</v>
      </c>
    </row>
    <row r="4" customFormat="false" ht="15" hidden="false" customHeight="true" outlineLevel="0" collapsed="false">
      <c r="A4" s="3" t="s">
        <v>148</v>
      </c>
    </row>
    <row r="5" customFormat="false" ht="15" hidden="false" customHeight="true" outlineLevel="0" collapsed="false">
      <c r="A5" s="3" t="s">
        <v>149</v>
      </c>
    </row>
    <row r="7" customFormat="false" ht="15" hidden="false" customHeight="true" outlineLevel="0" collapsed="false">
      <c r="A7" s="5" t="s">
        <v>150</v>
      </c>
      <c r="B7" s="4" t="s">
        <v>151</v>
      </c>
      <c r="C7" s="4" t="s">
        <v>152</v>
      </c>
      <c r="D7" s="4" t="s">
        <v>153</v>
      </c>
      <c r="E7" s="4" t="s">
        <v>154</v>
      </c>
      <c r="F7" s="5" t="s">
        <v>155</v>
      </c>
      <c r="G7" s="5" t="s">
        <v>156</v>
      </c>
      <c r="H7" s="4" t="s">
        <v>157</v>
      </c>
      <c r="I7" s="5" t="s">
        <v>158</v>
      </c>
      <c r="J7" s="5" t="s">
        <v>159</v>
      </c>
      <c r="K7" s="5" t="s">
        <v>160</v>
      </c>
      <c r="L7" s="5" t="s">
        <v>161</v>
      </c>
      <c r="M7" s="5" t="s">
        <v>162</v>
      </c>
      <c r="N7" s="4" t="s">
        <v>163</v>
      </c>
      <c r="O7" s="5" t="s">
        <v>144</v>
      </c>
    </row>
    <row r="8" customFormat="false" ht="15" hidden="false" customHeight="true" outlineLevel="0" collapsed="false">
      <c r="A8" s="10"/>
      <c r="B8" s="23"/>
      <c r="C8" s="23"/>
      <c r="D8" s="23"/>
      <c r="E8" s="23"/>
      <c r="F8" s="23"/>
      <c r="G8" s="23"/>
      <c r="H8" s="23"/>
      <c r="I8" s="23"/>
      <c r="J8" s="23"/>
      <c r="K8" s="24" t="str">
        <f aca="false">IF(SUM(B8:C8)=0,"",H8/SUM(B8:C8))</f>
        <v/>
      </c>
      <c r="L8" s="24" t="str">
        <f aca="false">IF(N(B8)=0,"",F8/B8)</f>
        <v/>
      </c>
      <c r="M8" s="24" t="str">
        <f aca="false">IF(N(C8)=0,"",G8/C8)</f>
        <v/>
      </c>
      <c r="N8" s="25" t="str">
        <f aca="false">IF(OR(L8="",M8="",MIN(L8,M8)=0),"",MAX(L8,M8)/MIN(L8,M8))</f>
        <v/>
      </c>
      <c r="O8" s="7" t="str">
        <f aca="false">IF(OR(N(B8)=0,N(C8)=0),"",IF(AND(B8&gt;=50,C8&gt;=50,N8&lt;&gt;"",N8&gt;=1.5),"判定可: "&amp;IF(L8&gt;M8,"A案","B案")&amp;"優勢(差"&amp;TEXT(N8,"0.0")&amp;"倍)","判定不可(各案50訪問以上かつ差1.5倍以上が条件)"))</f>
        <v/>
      </c>
    </row>
    <row r="9" customFormat="false" ht="15" hidden="false" customHeight="true" outlineLevel="0" collapsed="false">
      <c r="A9" s="10"/>
      <c r="B9" s="23"/>
      <c r="C9" s="23"/>
      <c r="D9" s="23"/>
      <c r="E9" s="23"/>
      <c r="F9" s="23"/>
      <c r="G9" s="23"/>
      <c r="H9" s="23"/>
      <c r="I9" s="23"/>
      <c r="J9" s="23"/>
      <c r="K9" s="24" t="str">
        <f aca="false">IF(SUM(B9:C9)=0,"",H9/SUM(B9:C9))</f>
        <v/>
      </c>
      <c r="L9" s="24" t="str">
        <f aca="false">IF(N(B9)=0,"",F9/B9)</f>
        <v/>
      </c>
      <c r="M9" s="24" t="str">
        <f aca="false">IF(N(C9)=0,"",G9/C9)</f>
        <v/>
      </c>
      <c r="N9" s="25" t="str">
        <f aca="false">IF(OR(L9="",M9="",MIN(L9,M9)=0),"",MAX(L9,M9)/MIN(L9,M9))</f>
        <v/>
      </c>
      <c r="O9" s="7" t="str">
        <f aca="false">IF(OR(N(B9)=0,N(C9)=0),"",IF(AND(B9&gt;=50,C9&gt;=50,N9&lt;&gt;"",N9&gt;=1.5),"判定可: "&amp;IF(L9&gt;M9,"A案","B案")&amp;"優勢(差"&amp;TEXT(N9,"0.0")&amp;"倍)","判定不可(各案50訪問以上かつ差1.5倍以上が条件)"))</f>
        <v/>
      </c>
    </row>
    <row r="10" customFormat="false" ht="15" hidden="false" customHeight="true" outlineLevel="0" collapsed="false">
      <c r="A10" s="10"/>
      <c r="B10" s="23"/>
      <c r="C10" s="23"/>
      <c r="D10" s="23"/>
      <c r="E10" s="23"/>
      <c r="F10" s="23"/>
      <c r="G10" s="23"/>
      <c r="H10" s="23"/>
      <c r="I10" s="23"/>
      <c r="J10" s="23"/>
      <c r="K10" s="24" t="str">
        <f aca="false">IF(SUM(B10:C10)=0,"",H10/SUM(B10:C10))</f>
        <v/>
      </c>
      <c r="L10" s="24" t="str">
        <f aca="false">IF(N(B10)=0,"",F10/B10)</f>
        <v/>
      </c>
      <c r="M10" s="24" t="str">
        <f aca="false">IF(N(C10)=0,"",G10/C10)</f>
        <v/>
      </c>
      <c r="N10" s="25" t="str">
        <f aca="false">IF(OR(L10="",M10="",MIN(L10,M10)=0),"",MAX(L10,M10)/MIN(L10,M10))</f>
        <v/>
      </c>
      <c r="O10" s="7" t="str">
        <f aca="false">IF(OR(N(B10)=0,N(C10)=0),"",IF(AND(B10&gt;=50,C10&gt;=50,N10&lt;&gt;"",N10&gt;=1.5),"判定可: "&amp;IF(L10&gt;M10,"A案","B案")&amp;"優勢(差"&amp;TEXT(N10,"0.0")&amp;"倍)","判定不可(各案50訪問以上かつ差1.5倍以上が条件)"))</f>
        <v/>
      </c>
    </row>
    <row r="11" customFormat="false" ht="15" hidden="false" customHeight="true" outlineLevel="0" collapsed="false">
      <c r="A11" s="10"/>
      <c r="B11" s="23"/>
      <c r="C11" s="23"/>
      <c r="D11" s="23"/>
      <c r="E11" s="23"/>
      <c r="F11" s="23"/>
      <c r="G11" s="23"/>
      <c r="H11" s="23"/>
      <c r="I11" s="23"/>
      <c r="J11" s="23"/>
      <c r="K11" s="24" t="str">
        <f aca="false">IF(SUM(B11:C11)=0,"",H11/SUM(B11:C11))</f>
        <v/>
      </c>
      <c r="L11" s="24" t="str">
        <f aca="false">IF(N(B11)=0,"",F11/B11)</f>
        <v/>
      </c>
      <c r="M11" s="24" t="str">
        <f aca="false">IF(N(C11)=0,"",G11/C11)</f>
        <v/>
      </c>
      <c r="N11" s="25" t="str">
        <f aca="false">IF(OR(L11="",M11="",MIN(L11,M11)=0),"",MAX(L11,M11)/MIN(L11,M11))</f>
        <v/>
      </c>
      <c r="O11" s="7" t="str">
        <f aca="false">IF(OR(N(B11)=0,N(C11)=0),"",IF(AND(B11&gt;=50,C11&gt;=50,N11&lt;&gt;"",N11&gt;=1.5),"判定可: "&amp;IF(L11&gt;M11,"A案","B案")&amp;"優勢(差"&amp;TEXT(N11,"0.0")&amp;"倍)","判定不可(各案50訪問以上かつ差1.5倍以上が条件)"))</f>
        <v/>
      </c>
    </row>
    <row r="12" customFormat="false" ht="15" hidden="false" customHeight="true" outlineLevel="0" collapsed="false">
      <c r="A12" s="10"/>
      <c r="B12" s="23"/>
      <c r="C12" s="23"/>
      <c r="D12" s="23"/>
      <c r="E12" s="23"/>
      <c r="F12" s="23"/>
      <c r="G12" s="23"/>
      <c r="H12" s="23"/>
      <c r="I12" s="23"/>
      <c r="J12" s="23"/>
      <c r="K12" s="24" t="str">
        <f aca="false">IF(SUM(B12:C12)=0,"",H12/SUM(B12:C12))</f>
        <v/>
      </c>
      <c r="L12" s="24" t="str">
        <f aca="false">IF(N(B12)=0,"",F12/B12)</f>
        <v/>
      </c>
      <c r="M12" s="24" t="str">
        <f aca="false">IF(N(C12)=0,"",G12/C12)</f>
        <v/>
      </c>
      <c r="N12" s="25" t="str">
        <f aca="false">IF(OR(L12="",M12="",MIN(L12,M12)=0),"",MAX(L12,M12)/MIN(L12,M12))</f>
        <v/>
      </c>
      <c r="O12" s="7" t="str">
        <f aca="false">IF(OR(N(B12)=0,N(C12)=0),"",IF(AND(B12&gt;=50,C12&gt;=50,N12&lt;&gt;"",N12&gt;=1.5),"判定可: "&amp;IF(L12&gt;M12,"A案","B案")&amp;"優勢(差"&amp;TEXT(N12,"0.0")&amp;"倍)","判定不可(各案50訪問以上かつ差1.5倍以上が条件)"))</f>
        <v/>
      </c>
    </row>
    <row r="13" customFormat="false" ht="15" hidden="false" customHeight="true" outlineLevel="0" collapsed="false">
      <c r="A13" s="10"/>
      <c r="B13" s="23"/>
      <c r="C13" s="23"/>
      <c r="D13" s="23"/>
      <c r="E13" s="23"/>
      <c r="F13" s="23"/>
      <c r="G13" s="23"/>
      <c r="H13" s="23"/>
      <c r="I13" s="23"/>
      <c r="J13" s="23"/>
      <c r="K13" s="24" t="str">
        <f aca="false">IF(SUM(B13:C13)=0,"",H13/SUM(B13:C13))</f>
        <v/>
      </c>
      <c r="L13" s="24" t="str">
        <f aca="false">IF(N(B13)=0,"",F13/B13)</f>
        <v/>
      </c>
      <c r="M13" s="24" t="str">
        <f aca="false">IF(N(C13)=0,"",G13/C13)</f>
        <v/>
      </c>
      <c r="N13" s="25" t="str">
        <f aca="false">IF(OR(L13="",M13="",MIN(L13,M13)=0),"",MAX(L13,M13)/MIN(L13,M13))</f>
        <v/>
      </c>
      <c r="O13" s="7" t="str">
        <f aca="false">IF(OR(N(B13)=0,N(C13)=0),"",IF(AND(B13&gt;=50,C13&gt;=50,N13&lt;&gt;"",N13&gt;=1.5),"判定可: "&amp;IF(L13&gt;M13,"A案","B案")&amp;"優勢(差"&amp;TEXT(N13,"0.0")&amp;"倍)","判定不可(各案50訪問以上かつ差1.5倍以上が条件)"))</f>
        <v/>
      </c>
    </row>
    <row r="14" customFormat="false" ht="15" hidden="false" customHeight="true" outlineLevel="0" collapsed="false">
      <c r="A14" s="10"/>
      <c r="B14" s="23"/>
      <c r="C14" s="23"/>
      <c r="D14" s="23"/>
      <c r="E14" s="23"/>
      <c r="F14" s="23"/>
      <c r="G14" s="23"/>
      <c r="H14" s="23"/>
      <c r="I14" s="23"/>
      <c r="J14" s="23"/>
      <c r="K14" s="24" t="str">
        <f aca="false">IF(SUM(B14:C14)=0,"",H14/SUM(B14:C14))</f>
        <v/>
      </c>
      <c r="L14" s="24" t="str">
        <f aca="false">IF(N(B14)=0,"",F14/B14)</f>
        <v/>
      </c>
      <c r="M14" s="24" t="str">
        <f aca="false">IF(N(C14)=0,"",G14/C14)</f>
        <v/>
      </c>
      <c r="N14" s="25" t="str">
        <f aca="false">IF(OR(L14="",M14="",MIN(L14,M14)=0),"",MAX(L14,M14)/MIN(L14,M14))</f>
        <v/>
      </c>
      <c r="O14" s="7" t="str">
        <f aca="false">IF(OR(N(B14)=0,N(C14)=0),"",IF(AND(B14&gt;=50,C14&gt;=50,N14&lt;&gt;"",N14&gt;=1.5),"判定可: "&amp;IF(L14&gt;M14,"A案","B案")&amp;"優勢(差"&amp;TEXT(N14,"0.0")&amp;"倍)","判定不可(各案50訪問以上かつ差1.5倍以上が条件)"))</f>
        <v/>
      </c>
    </row>
    <row r="15" customFormat="false" ht="15" hidden="false" customHeight="true" outlineLevel="0" collapsed="false">
      <c r="A15" s="10"/>
      <c r="B15" s="23"/>
      <c r="C15" s="23"/>
      <c r="D15" s="23"/>
      <c r="E15" s="23"/>
      <c r="F15" s="23"/>
      <c r="G15" s="23"/>
      <c r="H15" s="23"/>
      <c r="I15" s="23"/>
      <c r="J15" s="23"/>
      <c r="K15" s="24" t="str">
        <f aca="false">IF(SUM(B15:C15)=0,"",H15/SUM(B15:C15))</f>
        <v/>
      </c>
      <c r="L15" s="24" t="str">
        <f aca="false">IF(N(B15)=0,"",F15/B15)</f>
        <v/>
      </c>
      <c r="M15" s="24" t="str">
        <f aca="false">IF(N(C15)=0,"",G15/C15)</f>
        <v/>
      </c>
      <c r="N15" s="25" t="str">
        <f aca="false">IF(OR(L15="",M15="",MIN(L15,M15)=0),"",MAX(L15,M15)/MIN(L15,M15))</f>
        <v/>
      </c>
      <c r="O15" s="7" t="str">
        <f aca="false">IF(OR(N(B15)=0,N(C15)=0),"",IF(AND(B15&gt;=50,C15&gt;=50,N15&lt;&gt;"",N15&gt;=1.5),"判定可: "&amp;IF(L15&gt;M15,"A案","B案")&amp;"優勢(差"&amp;TEXT(N15,"0.0")&amp;"倍)","判定不可(各案50訪問以上かつ差1.5倍以上が条件)"))</f>
        <v/>
      </c>
    </row>
    <row r="16" customFormat="false" ht="15" hidden="false" customHeight="true" outlineLevel="0" collapsed="false">
      <c r="A16" s="10"/>
      <c r="B16" s="23"/>
      <c r="C16" s="23"/>
      <c r="D16" s="23"/>
      <c r="E16" s="23"/>
      <c r="F16" s="23"/>
      <c r="G16" s="23"/>
      <c r="H16" s="23"/>
      <c r="I16" s="23"/>
      <c r="J16" s="23"/>
      <c r="K16" s="24" t="str">
        <f aca="false">IF(SUM(B16:C16)=0,"",H16/SUM(B16:C16))</f>
        <v/>
      </c>
      <c r="L16" s="24" t="str">
        <f aca="false">IF(N(B16)=0,"",F16/B16)</f>
        <v/>
      </c>
      <c r="M16" s="24" t="str">
        <f aca="false">IF(N(C16)=0,"",G16/C16)</f>
        <v/>
      </c>
      <c r="N16" s="25" t="str">
        <f aca="false">IF(OR(L16="",M16="",MIN(L16,M16)=0),"",MAX(L16,M16)/MIN(L16,M16))</f>
        <v/>
      </c>
      <c r="O16" s="7" t="str">
        <f aca="false">IF(OR(N(B16)=0,N(C16)=0),"",IF(AND(B16&gt;=50,C16&gt;=50,N16&lt;&gt;"",N16&gt;=1.5),"判定可: "&amp;IF(L16&gt;M16,"A案","B案")&amp;"優勢(差"&amp;TEXT(N16,"0.0")&amp;"倍)","判定不可(各案50訪問以上かつ差1.5倍以上が条件)"))</f>
        <v/>
      </c>
    </row>
    <row r="17" customFormat="false" ht="15" hidden="false" customHeight="true" outlineLevel="0" collapsed="false">
      <c r="A17" s="10"/>
      <c r="B17" s="23"/>
      <c r="C17" s="23"/>
      <c r="D17" s="23"/>
      <c r="E17" s="23"/>
      <c r="F17" s="23"/>
      <c r="G17" s="23"/>
      <c r="H17" s="23"/>
      <c r="I17" s="23"/>
      <c r="J17" s="23"/>
      <c r="K17" s="24" t="str">
        <f aca="false">IF(SUM(B17:C17)=0,"",H17/SUM(B17:C17))</f>
        <v/>
      </c>
      <c r="L17" s="24" t="str">
        <f aca="false">IF(N(B17)=0,"",F17/B17)</f>
        <v/>
      </c>
      <c r="M17" s="24" t="str">
        <f aca="false">IF(N(C17)=0,"",G17/C17)</f>
        <v/>
      </c>
      <c r="N17" s="25" t="str">
        <f aca="false">IF(OR(L17="",M17="",MIN(L17,M17)=0),"",MAX(L17,M17)/MIN(L17,M17))</f>
        <v/>
      </c>
      <c r="O17" s="7" t="str">
        <f aca="false">IF(OR(N(B17)=0,N(C17)=0),"",IF(AND(B17&gt;=50,C17&gt;=50,N17&lt;&gt;"",N17&gt;=1.5),"判定可: "&amp;IF(L17&gt;M17,"A案","B案")&amp;"優勢(差"&amp;TEXT(N17,"0.0")&amp;"倍)","判定不可(各案50訪問以上かつ差1.5倍以上が条件)"))</f>
        <v/>
      </c>
    </row>
    <row r="18" customFormat="false" ht="15" hidden="false" customHeight="true" outlineLevel="0" collapsed="false">
      <c r="A18" s="10"/>
      <c r="B18" s="23"/>
      <c r="C18" s="23"/>
      <c r="D18" s="23"/>
      <c r="E18" s="23"/>
      <c r="F18" s="23"/>
      <c r="G18" s="23"/>
      <c r="H18" s="23"/>
      <c r="I18" s="23"/>
      <c r="J18" s="23"/>
      <c r="K18" s="24" t="str">
        <f aca="false">IF(SUM(B18:C18)=0,"",H18/SUM(B18:C18))</f>
        <v/>
      </c>
      <c r="L18" s="24" t="str">
        <f aca="false">IF(N(B18)=0,"",F18/B18)</f>
        <v/>
      </c>
      <c r="M18" s="24" t="str">
        <f aca="false">IF(N(C18)=0,"",G18/C18)</f>
        <v/>
      </c>
      <c r="N18" s="25" t="str">
        <f aca="false">IF(OR(L18="",M18="",MIN(L18,M18)=0),"",MAX(L18,M18)/MIN(L18,M18))</f>
        <v/>
      </c>
      <c r="O18" s="7" t="str">
        <f aca="false">IF(OR(N(B18)=0,N(C18)=0),"",IF(AND(B18&gt;=50,C18&gt;=50,N18&lt;&gt;"",N18&gt;=1.5),"判定可: "&amp;IF(L18&gt;M18,"A案","B案")&amp;"優勢(差"&amp;TEXT(N18,"0.0")&amp;"倍)","判定不可(各案50訪問以上かつ差1.5倍以上が条件)"))</f>
        <v/>
      </c>
    </row>
    <row r="19" customFormat="false" ht="15" hidden="false" customHeight="true" outlineLevel="0" collapsed="false">
      <c r="A19" s="10"/>
      <c r="B19" s="23"/>
      <c r="C19" s="23"/>
      <c r="D19" s="23"/>
      <c r="E19" s="23"/>
      <c r="F19" s="23"/>
      <c r="G19" s="23"/>
      <c r="H19" s="23"/>
      <c r="I19" s="23"/>
      <c r="J19" s="23"/>
      <c r="K19" s="24" t="str">
        <f aca="false">IF(SUM(B19:C19)=0,"",H19/SUM(B19:C19))</f>
        <v/>
      </c>
      <c r="L19" s="24" t="str">
        <f aca="false">IF(N(B19)=0,"",F19/B19)</f>
        <v/>
      </c>
      <c r="M19" s="24" t="str">
        <f aca="false">IF(N(C19)=0,"",G19/C19)</f>
        <v/>
      </c>
      <c r="N19" s="25" t="str">
        <f aca="false">IF(OR(L19="",M19="",MIN(L19,M19)=0),"",MAX(L19,M19)/MIN(L19,M19))</f>
        <v/>
      </c>
      <c r="O19" s="7" t="str">
        <f aca="false">IF(OR(N(B19)=0,N(C19)=0),"",IF(AND(B19&gt;=50,C19&gt;=50,N19&lt;&gt;"",N19&gt;=1.5),"判定可: "&amp;IF(L19&gt;M19,"A案","B案")&amp;"優勢(差"&amp;TEXT(N19,"0.0")&amp;"倍)","判定不可(各案50訪問以上かつ差1.5倍以上が条件)"))</f>
        <v/>
      </c>
    </row>
    <row r="20" customFormat="false" ht="15" hidden="false" customHeight="true" outlineLevel="0" collapsed="false">
      <c r="A20" s="26" t="s">
        <v>164</v>
      </c>
      <c r="B20" s="27" t="n">
        <f aca="false">SUM(B8:B19)</f>
        <v>0</v>
      </c>
      <c r="C20" s="27" t="n">
        <f aca="false">SUM(C8:C19)</f>
        <v>0</v>
      </c>
      <c r="D20" s="27" t="n">
        <f aca="false">SUM(D8:D19)</f>
        <v>0</v>
      </c>
      <c r="E20" s="27" t="n">
        <f aca="false">SUM(E8:E19)</f>
        <v>0</v>
      </c>
      <c r="F20" s="27" t="n">
        <f aca="false">SUM(F8:F19)</f>
        <v>0</v>
      </c>
      <c r="G20" s="27" t="n">
        <f aca="false">SUM(G8:G19)</f>
        <v>0</v>
      </c>
      <c r="H20" s="27" t="n">
        <f aca="false">SUM(H8:H19)</f>
        <v>0</v>
      </c>
      <c r="I20" s="27" t="n">
        <f aca="false">SUM(I8:I19)</f>
        <v>0</v>
      </c>
      <c r="J20" s="27" t="n">
        <f aca="false">SUM(J8:J19)</f>
        <v>0</v>
      </c>
      <c r="K20" s="28" t="str">
        <f aca="false">IF(SUM(B20:C20)=0,"",H20/SUM(B20:C20))</f>
        <v/>
      </c>
      <c r="L20" s="28" t="str">
        <f aca="false">IF(N(B20)=0,"",F20/B20)</f>
        <v/>
      </c>
      <c r="M20" s="28" t="str">
        <f aca="false">IF(N(C20)=0,"",G20/C20)</f>
        <v/>
      </c>
      <c r="N20" s="29" t="str">
        <f aca="false">IF(OR(L20="",M20="",MIN(L20,M20)=0),"",MAX(L20,M20)/MIN(L20,M20))</f>
        <v/>
      </c>
      <c r="O20" s="26" t="str">
        <f aca="false">IF(OR(N(B20)=0,N(C20)=0),"",IF(AND(B20&gt;=50,C20&gt;=50,N20&lt;&gt;"",N20&gt;=1.5),"判定可: "&amp;IF(L20&gt;M20,"A案","B案")&amp;"優勢(差"&amp;TEXT(N20,"0.0")&amp;"倍)","判定不可(各案50訪問以上かつ差1.5倍以上が条件)"))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70"/>
    <col collapsed="false" customWidth="true" hidden="false" outlineLevel="0" max="3" min="3" style="1" width="24"/>
    <col collapsed="false" customWidth="true" hidden="false" outlineLevel="0" max="4" min="4" style="1" width="36"/>
    <col collapsed="false" customWidth="true" hidden="false" outlineLevel="0" max="5" min="5" style="1" width="11"/>
  </cols>
  <sheetData>
    <row r="1" customFormat="false" ht="16.5" hidden="false" customHeight="true" outlineLevel="0" collapsed="false">
      <c r="A1" s="2" t="s">
        <v>165</v>
      </c>
    </row>
    <row r="2" customFormat="false" ht="15" hidden="false" customHeight="true" outlineLevel="0" collapsed="false">
      <c r="A2" s="3" t="s">
        <v>166</v>
      </c>
    </row>
    <row r="3" customFormat="false" ht="15" hidden="false" customHeight="true" outlineLevel="0" collapsed="false">
      <c r="A3" s="3" t="s">
        <v>167</v>
      </c>
    </row>
    <row r="5" customFormat="false" ht="15" hidden="false" customHeight="true" outlineLevel="0" collapsed="false">
      <c r="A5" s="5" t="s">
        <v>168</v>
      </c>
      <c r="B5" s="5" t="s">
        <v>169</v>
      </c>
      <c r="C5" s="5" t="s">
        <v>49</v>
      </c>
      <c r="D5" s="5" t="s">
        <v>170</v>
      </c>
      <c r="E5" s="5" t="s">
        <v>50</v>
      </c>
    </row>
    <row r="6" customFormat="false" ht="26.25" hidden="false" customHeight="true" outlineLevel="0" collapsed="false">
      <c r="A6" s="8" t="s">
        <v>171</v>
      </c>
      <c r="B6" s="8" t="s">
        <v>172</v>
      </c>
      <c r="C6" s="8" t="s">
        <v>173</v>
      </c>
      <c r="D6" s="8" t="s">
        <v>174</v>
      </c>
      <c r="E6" s="13"/>
    </row>
    <row r="7" customFormat="false" ht="26.25" hidden="false" customHeight="true" outlineLevel="0" collapsed="false">
      <c r="A7" s="8" t="s">
        <v>175</v>
      </c>
      <c r="B7" s="7" t="s">
        <v>176</v>
      </c>
      <c r="C7" s="8" t="s">
        <v>177</v>
      </c>
      <c r="D7" s="8" t="s">
        <v>178</v>
      </c>
      <c r="E7" s="13"/>
    </row>
    <row r="8" customFormat="false" ht="15" hidden="false" customHeight="true" outlineLevel="0" collapsed="false">
      <c r="A8" s="8" t="s">
        <v>179</v>
      </c>
      <c r="B8" s="8" t="s">
        <v>180</v>
      </c>
      <c r="C8" s="8" t="s">
        <v>181</v>
      </c>
      <c r="D8" s="8" t="s">
        <v>182</v>
      </c>
      <c r="E8" s="13"/>
    </row>
    <row r="9" customFormat="false" ht="26.25" hidden="false" customHeight="true" outlineLevel="0" collapsed="false">
      <c r="A9" s="8" t="s">
        <v>183</v>
      </c>
      <c r="B9" s="8" t="s">
        <v>184</v>
      </c>
      <c r="C9" s="8" t="s">
        <v>185</v>
      </c>
      <c r="D9" s="8" t="s">
        <v>186</v>
      </c>
      <c r="E9" s="13"/>
    </row>
    <row r="10" customFormat="false" ht="15" hidden="false" customHeight="true" outlineLevel="0" collapsed="false">
      <c r="A10" s="8" t="s">
        <v>187</v>
      </c>
      <c r="B10" s="8" t="s">
        <v>188</v>
      </c>
      <c r="C10" s="8" t="s">
        <v>189</v>
      </c>
      <c r="D10" s="8" t="s">
        <v>190</v>
      </c>
      <c r="E10" s="13"/>
    </row>
    <row r="11" customFormat="false" ht="26.25" hidden="false" customHeight="true" outlineLevel="0" collapsed="false">
      <c r="A11" s="8" t="s">
        <v>191</v>
      </c>
      <c r="B11" s="8" t="s">
        <v>192</v>
      </c>
      <c r="C11" s="7" t="s">
        <v>193</v>
      </c>
      <c r="D11" s="8" t="s">
        <v>194</v>
      </c>
      <c r="E11" s="13"/>
    </row>
    <row r="13" customFormat="false" ht="15" hidden="false" customHeight="true" outlineLevel="0" collapsed="false">
      <c r="D13" s="11" t="s">
        <v>195</v>
      </c>
      <c r="E13" s="11" t="str">
        <f aca="false">COUNTIF(E6:E11,"完了")&amp;" / "&amp;COUNTA(A6:A11)</f>
        <v>0 / 6</v>
      </c>
    </row>
  </sheetData>
  <dataValidations count="1">
    <dataValidation allowBlank="true" errorStyle="stop" operator="between" showDropDown="false" showErrorMessage="false" showInputMessage="false" sqref="E6:E11" type="list">
      <formula1>"未着手,進行中,完了"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2026-10-02T15:22:35Z</dcterms:created>
  <dc:creator>openpyxl</dc:creator>
  <dc:description/>
  <dc:language>en-US</dc:language>
  <cp:lastModifiedBy/>
  <dcterms:modified xsi:type="dcterms:W3CDTF">2026-10-02T23:41:07Z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